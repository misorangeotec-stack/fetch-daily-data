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ubocRwt2TMkACHGcqBHNzZeNbR0EtYLtrrnBYB31was="/>
    </ext>
  </extLst>
</workbook>
</file>

<file path=xl/sharedStrings.xml><?xml version="1.0" encoding="utf-8"?>
<sst xmlns="http://schemas.openxmlformats.org/spreadsheetml/2006/main" count="16025" uniqueCount="1271">
  <si>
    <t>Company</t>
  </si>
  <si>
    <t>Location</t>
  </si>
  <si>
    <t>$Name</t>
  </si>
  <si>
    <t>Sales Person</t>
  </si>
  <si>
    <t>Credit Period</t>
  </si>
  <si>
    <t>Credit Limit</t>
  </si>
  <si>
    <t>Openning Apr-25</t>
  </si>
  <si>
    <t>Enterprise</t>
  </si>
  <si>
    <t>Noida</t>
  </si>
  <si>
    <t>A N CREATION</t>
  </si>
  <si>
    <t>KHURSHID JI</t>
  </si>
  <si>
    <t>45 Days</t>
  </si>
  <si>
    <t>O-tec</t>
  </si>
  <si>
    <t>Surat</t>
  </si>
  <si>
    <t/>
  </si>
  <si>
    <t>A S TRADING</t>
  </si>
  <si>
    <t>OTHERS</t>
  </si>
  <si>
    <t>60 Days</t>
  </si>
  <si>
    <t>A.I DIGITAL PRINT</t>
  </si>
  <si>
    <t>PURAV SHAH</t>
  </si>
  <si>
    <t>A.N.CREATION - MACHINE</t>
  </si>
  <si>
    <t>AAD SACH CREATIONS</t>
  </si>
  <si>
    <t>AADESH DIGITAL PRINTS</t>
  </si>
  <si>
    <t>60</t>
  </si>
  <si>
    <t>AADESH DIGITAL PRINTS-MACHINE</t>
  </si>
  <si>
    <t>AAKASH FASHION PRINTS PVT LTD</t>
  </si>
  <si>
    <t>DHANANJAY</t>
  </si>
  <si>
    <t>2 Days</t>
  </si>
  <si>
    <t>AAKASH FASHION PRINTS PVT LTD- MACHINE</t>
  </si>
  <si>
    <t>AAR KAY GRAPHICS</t>
  </si>
  <si>
    <t>AARNA FASHION</t>
  </si>
  <si>
    <t>AARNAV FASHIONS LIMITED</t>
  </si>
  <si>
    <t>NAKUL JI</t>
  </si>
  <si>
    <t>7 Days</t>
  </si>
  <si>
    <t>AARNAV FASHIONS LIMITED-Machine</t>
  </si>
  <si>
    <t>AASIYA CREATION</t>
  </si>
  <si>
    <t>AAYUSH RATHI</t>
  </si>
  <si>
    <t>AAYUSH SIR</t>
  </si>
  <si>
    <t>ABHISEKH TEXCHEM PVT LTD.</t>
  </si>
  <si>
    <t>ABHISEKH TEXCHEM PVT LTD-MACHINE</t>
  </si>
  <si>
    <t>ACCRUED REVENUE</t>
  </si>
  <si>
    <t>ACS TEXTILES (BANGLADESH) LTD</t>
  </si>
  <si>
    <t>ADIYA DESIGNER</t>
  </si>
  <si>
    <t>ADVANCE FORM DEBTORS</t>
  </si>
  <si>
    <t>AEROLAM DECORATIVES LLP</t>
  </si>
  <si>
    <t>AGANSA PRIMATAMA. PT</t>
  </si>
  <si>
    <t>AIRDOT FAB TEX</t>
  </si>
  <si>
    <t>AISHAWARYA CREATIONS</t>
  </si>
  <si>
    <t>MANMOHAN JI</t>
  </si>
  <si>
    <t>30 Days</t>
  </si>
  <si>
    <t>AJANTA DIGITAL INDUSTRIES</t>
  </si>
  <si>
    <t>AJANTA DIGITAL INDUSTRIES-AHMEDABAD</t>
  </si>
  <si>
    <t>AJANTA DIGITAL INDUSTRIES-SURAT</t>
  </si>
  <si>
    <t>AKASH PRASANNAKUMAR SHAH- DOLPHIN DIGITAL</t>
  </si>
  <si>
    <t>AKHAND DIGITEX</t>
  </si>
  <si>
    <t>15 Days</t>
  </si>
  <si>
    <t>AKLAVYA INDUSTRIES PVT.LTD.</t>
  </si>
  <si>
    <t>AKSHAR PRINTS</t>
  </si>
  <si>
    <t>AKSHAR PRINTS-MACHINE</t>
  </si>
  <si>
    <t>ALOK FABRICS</t>
  </si>
  <si>
    <t>ALOK TEXTILE MILL</t>
  </si>
  <si>
    <t>ALOKA EXPORTS</t>
  </si>
  <si>
    <t>ALPHA DIGITAL</t>
  </si>
  <si>
    <t>AMAAYRA DIGITAL PRIVATE LIMITED</t>
  </si>
  <si>
    <t>AMAAYRA DIGITAL PRIVATE LIMITED-MACHINE</t>
  </si>
  <si>
    <t>AMANDEEP TEXTILES</t>
  </si>
  <si>
    <t>AMANDEEP TEXTILES-MACHINE</t>
  </si>
  <si>
    <t>AMAR CREATION</t>
  </si>
  <si>
    <t>AMARASHA DIGITAL PRINTS PRIVATE LIMITED</t>
  </si>
  <si>
    <t>AMARSONS IMPEX</t>
  </si>
  <si>
    <t>AMBE TEXTILES</t>
  </si>
  <si>
    <t>AMBIKA INTERNATIONAL</t>
  </si>
  <si>
    <t>AMIT CORPORATION</t>
  </si>
  <si>
    <t>AMIT DIGITAL PRINT</t>
  </si>
  <si>
    <t>1 Days</t>
  </si>
  <si>
    <t>AMTEX DYE CHEM INDUSTRIES</t>
  </si>
  <si>
    <t>ANAND DYERS</t>
  </si>
  <si>
    <t>ANAND DYERS-MACHINE</t>
  </si>
  <si>
    <t>ANANYA CREATION</t>
  </si>
  <si>
    <t>ANAYAA DIGITAL LLP</t>
  </si>
  <si>
    <t>40 Days</t>
  </si>
  <si>
    <t>ANAYAA DIGITAL LLP(MACHINE)</t>
  </si>
  <si>
    <t>ANGARIKA DIGITEX PVT LTD</t>
  </si>
  <si>
    <t>KARAN SIR</t>
  </si>
  <si>
    <t>75 Days</t>
  </si>
  <si>
    <t>ANGARIKA DIGITEX PVT LTD-MACHINE</t>
  </si>
  <si>
    <t>ANIL</t>
  </si>
  <si>
    <t>ANISHA THE COLOUR CO.</t>
  </si>
  <si>
    <t>UMESH JI</t>
  </si>
  <si>
    <t>15</t>
  </si>
  <si>
    <t>ANISHA THE COLOUR CO.- MACHINE</t>
  </si>
  <si>
    <t>ANJANI SYNTHETICS LIMITED</t>
  </si>
  <si>
    <t>ANJANI SYNTHETICS LIMITED-MACHINE</t>
  </si>
  <si>
    <t>ANKIT CREATION</t>
  </si>
  <si>
    <t>ANSARI MAKBULALAM  MOHMEDYASHIN</t>
  </si>
  <si>
    <t>ANSH DIGITEX LLP</t>
  </si>
  <si>
    <t>90 Days</t>
  </si>
  <si>
    <t>ANUPAM CREATION PVT LTD</t>
  </si>
  <si>
    <t>1</t>
  </si>
  <si>
    <t>ANUPAM CREATION PVT LTD-MACHINE</t>
  </si>
  <si>
    <t>APEX IMPEX</t>
  </si>
  <si>
    <t>APEX IMPEX-Amit Digital Prints</t>
  </si>
  <si>
    <t>APK ENGINEERING</t>
  </si>
  <si>
    <t>APOLLO  DIGITEX PVT.LTD</t>
  </si>
  <si>
    <t>75</t>
  </si>
  <si>
    <t>APOLLO  DIGITEX PVT.LTD-MACHINE</t>
  </si>
  <si>
    <t>APOLLO DIGITEX PRIVATE LIMITED</t>
  </si>
  <si>
    <t>APSARA SILKS</t>
  </si>
  <si>
    <t>ARA DIGITAL PRINTS</t>
  </si>
  <si>
    <t>ARCHNA DYEING &amp; PRINTING MILLS P LTD</t>
  </si>
  <si>
    <t>ARIHANT COTFAB LLP</t>
  </si>
  <si>
    <t>ARIHANT DIGITAL</t>
  </si>
  <si>
    <t>ARIHANT DIGITAL-MACHINE</t>
  </si>
  <si>
    <t>ARIHANT ENTERPRISES</t>
  </si>
  <si>
    <t>ARISE DIGITAL</t>
  </si>
  <si>
    <t>SUHEL</t>
  </si>
  <si>
    <t>ARISE INTERNATIONAL</t>
  </si>
  <si>
    <t>ARUN AGARWAL</t>
  </si>
  <si>
    <t>ARUN DYES CHEM SALES CORPORATION</t>
  </si>
  <si>
    <t>ARUNAM DIGITAL PRINTS</t>
  </si>
  <si>
    <t>ARVIND LIMITED</t>
  </si>
  <si>
    <t>ASHE PRINTS</t>
  </si>
  <si>
    <t>ASHIE PRINTS</t>
  </si>
  <si>
    <t>ASHIE PRINTZ</t>
  </si>
  <si>
    <t>ASTITA INTERNATIONAL</t>
  </si>
  <si>
    <t>25 Days</t>
  </si>
  <si>
    <t>ATEN ADVANCE PRIVATE LIMITED</t>
  </si>
  <si>
    <t>ATHAH CREATIVE LLP</t>
  </si>
  <si>
    <t>ATIRA DESIGNS PRIVATE LIMITED</t>
  </si>
  <si>
    <t>AURO TEXTILES</t>
  </si>
  <si>
    <t>AVKASH TRADERS PVT LTD</t>
  </si>
  <si>
    <t>AYAAN TRENDZ PVT LTD.</t>
  </si>
  <si>
    <t>B AND D FAB TEX</t>
  </si>
  <si>
    <t>B K FASHION</t>
  </si>
  <si>
    <t>B K FASHION - MACHINE</t>
  </si>
  <si>
    <t>BAANI CREATION</t>
  </si>
  <si>
    <t>BAJRANG DIGITAL</t>
  </si>
  <si>
    <t>BAJRANG FASHION</t>
  </si>
  <si>
    <t>BALAJI CREATION</t>
  </si>
  <si>
    <t>BALAJI DIGITAL</t>
  </si>
  <si>
    <t>BALAJI GRAPHICS</t>
  </si>
  <si>
    <t>BALAJI GRAPHICS-MACHINE</t>
  </si>
  <si>
    <t>BALAJI PRINT</t>
  </si>
  <si>
    <t>BALAJI PRINTS</t>
  </si>
  <si>
    <t>30</t>
  </si>
  <si>
    <t>BANSAL TEXTILE MILLS</t>
  </si>
  <si>
    <t>BANSAL TEXTILE MILLS(MACHINE)</t>
  </si>
  <si>
    <t>BANSARI ENTERPRISE</t>
  </si>
  <si>
    <t>BEAUTY ART PRINT (INDIA) PVT LTD</t>
  </si>
  <si>
    <t>BENKTESH SYNTH PROCESSORS PVT LTD</t>
  </si>
  <si>
    <t>BHAGTI FASHION</t>
  </si>
  <si>
    <t>BHAGTI PRINTS</t>
  </si>
  <si>
    <t>BHAGWATI CREATION</t>
  </si>
  <si>
    <t>BHAGWATI FABRICS</t>
  </si>
  <si>
    <t>BHANU EMBROIDERIES PRIVATE LIMITED</t>
  </si>
  <si>
    <t>BHANU EMBROIDERIES PRIVATE LIMITED-  MACHINE</t>
  </si>
  <si>
    <t>BHATIA COLOUR CO.</t>
  </si>
  <si>
    <t>BHAVIN TEXTILES</t>
  </si>
  <si>
    <t>BHAVIN TEXTILES-MACHINE</t>
  </si>
  <si>
    <t>BHOLE NATH HOSIERY MILLS</t>
  </si>
  <si>
    <t>BHOLE NATH HOSIERY MILLS-MACHINE</t>
  </si>
  <si>
    <t>BHOOMI FASHION PVT LTD</t>
  </si>
  <si>
    <t>BHOOMI FASHION PVT LTD- MACHINE</t>
  </si>
  <si>
    <t>BINAYAK TEX PROCESSORS LTD.</t>
  </si>
  <si>
    <t>BISHEN DYEING PRINTING &amp; WEAVING MILLS</t>
  </si>
  <si>
    <t>IMMEDIATE</t>
  </si>
  <si>
    <t>BISHEN DYEING PRINTING &amp; WEAVING MILLS -OLD MACHINE</t>
  </si>
  <si>
    <t>BISHEN DYEING PRINTING &amp; WEAVING MILLS(MACHINE)</t>
  </si>
  <si>
    <t>BLESSINGS ART DIGITAL</t>
  </si>
  <si>
    <t>BLOSSOM TEXTILE MILLS</t>
  </si>
  <si>
    <t>BLUE CLIPPER DIGITAL PRINTS</t>
  </si>
  <si>
    <t>BLUE CLIPPER DIGITAL PRINTS-MACHINE</t>
  </si>
  <si>
    <t>BLUE PRINT ENTERPRISE</t>
  </si>
  <si>
    <t>45</t>
  </si>
  <si>
    <t>BLUE PRINT ENTERPRISE-MACHINE</t>
  </si>
  <si>
    <t>BLUETON PAPER PRODUCTS PVT LTD</t>
  </si>
  <si>
    <t>BODAL CHEMICALS LIMITED</t>
  </si>
  <si>
    <t>BOMBAY RAYON FASHIONS LTD</t>
  </si>
  <si>
    <t>Branch Sale</t>
  </si>
  <si>
    <t>BRILTEX INDUSTRIES LLP</t>
  </si>
  <si>
    <t>BUSINESS EXPO 2025</t>
  </si>
  <si>
    <t>BUTTERFLY</t>
  </si>
  <si>
    <t>CARTRIDGE CARE SERVICES PVT LTD</t>
  </si>
  <si>
    <t>CHANDRIKA DIGITAL</t>
  </si>
  <si>
    <t>CHANDRIKA DIGITAL-MACHINE</t>
  </si>
  <si>
    <t>CHEHRA CLOTHING INDIA (P) LTD</t>
  </si>
  <si>
    <t>CHENAB HOSIERY MILLS</t>
  </si>
  <si>
    <t>20 Days</t>
  </si>
  <si>
    <t>CHENAB HOSIERY MILLS-MACHINE</t>
  </si>
  <si>
    <t>CHHAGANLAL TEXTILES</t>
  </si>
  <si>
    <t>CHIMANLAL M SHAH</t>
  </si>
  <si>
    <t>CHITARO THE ART</t>
  </si>
  <si>
    <t>CHITARO THE ART Machine</t>
  </si>
  <si>
    <t>CHITRAKALA PRINTS</t>
  </si>
  <si>
    <t>CLOTHERA PRIVATE LIMITED</t>
  </si>
  <si>
    <t>CLOTHERA PRIVATE LIMITED-MACHINE</t>
  </si>
  <si>
    <t>CLOTHIFY DIGITAL PRINT</t>
  </si>
  <si>
    <t>CLOTHWARI PRINTING PRIVATE LIMITED</t>
  </si>
  <si>
    <t>CMYK  PRINTS</t>
  </si>
  <si>
    <t>COLORDROP DIGITAL PRINTING SOLUTIONS</t>
  </si>
  <si>
    <t>COLORIX DIGITAL PRINTING SOLUTIONS LLP-MUMBAI</t>
  </si>
  <si>
    <t>COLORIX DIGITAL PRINTING SOLUTIONS LLP-SALES</t>
  </si>
  <si>
    <t>COLORS INTERNATIONAL</t>
  </si>
  <si>
    <t>COLORTALES DIGITAL</t>
  </si>
  <si>
    <t>COLOURTEX INDUSTRIES PVT.LTD.</t>
  </si>
  <si>
    <t>COMBAT EQUIPMENT AND APPARELS LLP</t>
  </si>
  <si>
    <t>COUNTRY HOME TEXTILE(T.C.KRUPA)</t>
  </si>
  <si>
    <t>CREATIQUE ESPORRE PRIVATE LIMITED</t>
  </si>
  <si>
    <t>D C TEXTILE MILLS PVT LTD</t>
  </si>
  <si>
    <t>D C TEXTILE MILLS PVT LTD (MACHINE)</t>
  </si>
  <si>
    <t>D SKY DIGITAL PRINTS</t>
  </si>
  <si>
    <t>120</t>
  </si>
  <si>
    <t>120 Days</t>
  </si>
  <si>
    <t>D SKY DIGITAL PRINTS- MACHINE</t>
  </si>
  <si>
    <t>D.K. KNITWEARS</t>
  </si>
  <si>
    <t>D.K. KNITWEARS - MACHINE</t>
  </si>
  <si>
    <t>D.P. TEXFAB</t>
  </si>
  <si>
    <t>DAFFODIL DIGITAL PRINTS</t>
  </si>
  <si>
    <t>DALJIT SINGH ARORA-KALPKALA</t>
  </si>
  <si>
    <t>DAMODAR CREATION</t>
  </si>
  <si>
    <t>DANGASIYA AUTOMATION</t>
  </si>
  <si>
    <t>DARSH COTTON HOUSE</t>
  </si>
  <si>
    <t>DASS DIGITAL</t>
  </si>
  <si>
    <t>90</t>
  </si>
  <si>
    <t>DASS DIGITAL-MACHINE</t>
  </si>
  <si>
    <t>DASS EMBROIDERY PRIVATE LIMITED</t>
  </si>
  <si>
    <t>DASS EMBROIDERY PRIVATE LIMITED-MACHINE</t>
  </si>
  <si>
    <t>DASS FASHION</t>
  </si>
  <si>
    <t>DASS TRENDZ</t>
  </si>
  <si>
    <t>DAVAR FABRICS</t>
  </si>
  <si>
    <t>DAVAR FABRICS MACHINE</t>
  </si>
  <si>
    <t>DC DIGITAL</t>
  </si>
  <si>
    <t>DCC PRINT VISION LLP-SALES</t>
  </si>
  <si>
    <t>D'DECOR HOME FABRICS PVT. LTD. -SALES</t>
  </si>
  <si>
    <t>DESIGN ELEMENT</t>
  </si>
  <si>
    <t>DESIGN MAGICO</t>
  </si>
  <si>
    <t>DESIRE DIGITAL</t>
  </si>
  <si>
    <t>DESIRE DIGITAL-MACHINE</t>
  </si>
  <si>
    <t>DEV DIGITAL</t>
  </si>
  <si>
    <t>DHANLAXMI MICRO PRINT</t>
  </si>
  <si>
    <t>DHANLAXMI TRADERS</t>
  </si>
  <si>
    <t>DHARTI MATCHING CENTER</t>
  </si>
  <si>
    <t>DHINGRA GRAPHICS &amp; PACKAGING PVT. LTD</t>
  </si>
  <si>
    <t>DICITEX HOME FURNISHING PVT. LTD.</t>
  </si>
  <si>
    <t>DIGITAL FASHION STUDIO</t>
  </si>
  <si>
    <t>DIGITAL INNOVATION</t>
  </si>
  <si>
    <t>DIGITAL PRINTS</t>
  </si>
  <si>
    <t>DIGITAL PRINTS - MACHINE</t>
  </si>
  <si>
    <t>DIGITAL SERVICES INDIA</t>
  </si>
  <si>
    <t>DIGITO FAB</t>
  </si>
  <si>
    <t>DIMPLE</t>
  </si>
  <si>
    <t>DIVINE ARTS</t>
  </si>
  <si>
    <t>DOLPHIN DIGITAL</t>
  </si>
  <si>
    <t>DOLPHIN DIGITAL /OM PROCESS</t>
  </si>
  <si>
    <t>DR ARUN MAHAJAN FOODS PRIVATE LIMITED</t>
  </si>
  <si>
    <t>DR ARUN MAHAJAN FOODS PVT LTD</t>
  </si>
  <si>
    <t>DRISHTY SUSHILKUMAR AGRAWAL</t>
  </si>
  <si>
    <t>DULARI DIGITAL PHOTO SERVICES PVT LTD</t>
  </si>
  <si>
    <t>DURGA POLYSTERS PVT. LTD.</t>
  </si>
  <si>
    <t>DURGA PROCESSORS PVT LTD</t>
  </si>
  <si>
    <t>EASY PACK</t>
  </si>
  <si>
    <t>ECO PLANET</t>
  </si>
  <si>
    <t>EKTA PRINTERS</t>
  </si>
  <si>
    <t>EKTUHI CREATOR</t>
  </si>
  <si>
    <t>EKTUHI CREATOR-MACHINE</t>
  </si>
  <si>
    <t>ELITE DIGITAL PRINTS</t>
  </si>
  <si>
    <t>ELYSIUM DIGITAL INOVATIONS PRIVATE LIMITED</t>
  </si>
  <si>
    <t>ELYSIUM INDUSTRIES INDIA PVT LTD-SALE</t>
  </si>
  <si>
    <t>ENVENTA POWER TECHNOLOGIES PVT. LTD.</t>
  </si>
  <si>
    <t>EPIC DIGITAL PRINTS</t>
  </si>
  <si>
    <t>EPIC PRINTING</t>
  </si>
  <si>
    <t>EPIC WEAVERS PRIVATE LIMITED</t>
  </si>
  <si>
    <t>EPIC WEAVERS PRIVATE LIMITED- MACHINE</t>
  </si>
  <si>
    <t>EPIC YARNS PRIVATE LIMITED</t>
  </si>
  <si>
    <t>ERICA PRINTS</t>
  </si>
  <si>
    <t>ETHCO PRINTS</t>
  </si>
  <si>
    <t>ETHOS</t>
  </si>
  <si>
    <t>ETHOS- MACHINE</t>
  </si>
  <si>
    <t>EUROTEX CHEMICALS</t>
  </si>
  <si>
    <t>EVOKE FASHION</t>
  </si>
  <si>
    <t>EXPRESSION</t>
  </si>
  <si>
    <t>FABRIC  STORY PVT LTD</t>
  </si>
  <si>
    <t>FABRIC HOUSE</t>
  </si>
  <si>
    <t>FABRO LEATHER INDUSTRIES LLP</t>
  </si>
  <si>
    <t>FANCY BEE</t>
  </si>
  <si>
    <t>FANCY FAB SPINNING &amp; WEAVING MILL LLP</t>
  </si>
  <si>
    <t>FASHION MAKERS GROUP</t>
  </si>
  <si>
    <t>FASHION MAKERS GROUP-MACHINE</t>
  </si>
  <si>
    <t>FASHLINE INDUSTRIES</t>
  </si>
  <si>
    <t>FEMINA FASHION</t>
  </si>
  <si>
    <t>FINE ART PRINTERS</t>
  </si>
  <si>
    <t>FLORATEX</t>
  </si>
  <si>
    <t>FLORATEX - MACHINE</t>
  </si>
  <si>
    <t>FMG APPARELS PVT.LTD.</t>
  </si>
  <si>
    <t>FMG EXPORTS PRIVATE LIMITED</t>
  </si>
  <si>
    <t>FMG EXPORTS PRIVATE LIMITED- MACHINE</t>
  </si>
  <si>
    <t>FOR MACHINE TESTING PURPOSE</t>
  </si>
  <si>
    <t>FORMONIX TECHNOLOGIES-SALES</t>
  </si>
  <si>
    <t>FOURWAY INTERNATIONAL</t>
  </si>
  <si>
    <t>FRESA FASHION</t>
  </si>
  <si>
    <t>FRIENDS N FRIENDS</t>
  </si>
  <si>
    <t>G.M. FABRICS PVT. LTD.</t>
  </si>
  <si>
    <t>GAGAN SILK MILLS PVT LTD</t>
  </si>
  <si>
    <t>GAGAN SILK MILLS PVT LTD- MACHINE</t>
  </si>
  <si>
    <t>GAJENDRA JI</t>
  </si>
  <si>
    <t>GAJRAJ NX</t>
  </si>
  <si>
    <t>GAJRAJ NX MACHINE</t>
  </si>
  <si>
    <t>GANGA DIGI TEX PRINTS</t>
  </si>
  <si>
    <t>GANGA DIGI TEX PRINTS - MACHINE</t>
  </si>
  <si>
    <t>GANGA FASHION PVT LTD</t>
  </si>
  <si>
    <t>GANGA FASHION PVT LTD(MACHINE)</t>
  </si>
  <si>
    <t>GANGA PROCESSORS</t>
  </si>
  <si>
    <t>GARFAB  - TX</t>
  </si>
  <si>
    <t>GARIMA CHEMICAL CORPORATION</t>
  </si>
  <si>
    <t>GARIMA ENTERPRISES</t>
  </si>
  <si>
    <t>GAURANGA INTERNATIONAL</t>
  </si>
  <si>
    <t>GAURANGA INTERNATIONAL-MACHINE</t>
  </si>
  <si>
    <t>GAURAV UMBRELLA</t>
  </si>
  <si>
    <t>GAURAV UMBRELLA - MACHINE</t>
  </si>
  <si>
    <t>GAYATRI FASHION</t>
  </si>
  <si>
    <t>ADVANCE</t>
  </si>
  <si>
    <t>GAZENDRA BHATIA</t>
  </si>
  <si>
    <t>GINNI FASHIONS PRIVATE LIMITED</t>
  </si>
  <si>
    <t>GIRDHAR PRINTS PRIVATE LIMITED</t>
  </si>
  <si>
    <t>GIRDHAR PRINTS PRIVATE LIMITED- MACHINE</t>
  </si>
  <si>
    <t>GLAMY FABRICS</t>
  </si>
  <si>
    <t>GLAMY FABRICS-MACHINE</t>
  </si>
  <si>
    <t>GLOBAL HANDLOOMS</t>
  </si>
  <si>
    <t>GLOBAL LINE SHIPPERS PRIVATE LIMITED</t>
  </si>
  <si>
    <t>GLOBAL PACKERS</t>
  </si>
  <si>
    <t>GLORY DYEING MILLS PRIVATE LIMITED</t>
  </si>
  <si>
    <t>GLORY FAB INDIA PRIVATE LIMITED</t>
  </si>
  <si>
    <t>GOKUL FABRICS PVT LTD</t>
  </si>
  <si>
    <t>GOKUL TEX PRINTS PVT. LTD.</t>
  </si>
  <si>
    <t>GOLD PAR APPAREL</t>
  </si>
  <si>
    <t>GOPAL HOME FURNISHING</t>
  </si>
  <si>
    <t>GOPAL HOME FURNISHING - MACHINE</t>
  </si>
  <si>
    <t>GOPAL HOME FURNISHING - MACHINE 2</t>
  </si>
  <si>
    <t>GOPGAN DIGITAL PRINTING</t>
  </si>
  <si>
    <t>GOPGAN DIGITAL PRINTING LLP</t>
  </si>
  <si>
    <t>GOPGAN PRINTING</t>
  </si>
  <si>
    <t>GOPGAN PRINTING-MACHINE</t>
  </si>
  <si>
    <t>GOPGAN VASTRA BHANDAR</t>
  </si>
  <si>
    <t>GOPI KRISHNA PROCESSOR PVT. LTD.</t>
  </si>
  <si>
    <t>GOPI KRISHNA PROCESSOR PVT. LTD. (DELHI)</t>
  </si>
  <si>
    <t>GORJA INTERNATIONAL PRIVATE LIMITED</t>
  </si>
  <si>
    <t>GOURIWALA TEXTILES PRINTS</t>
  </si>
  <si>
    <t>GOURIWALA TEXTILES PRIVATE LIMITED</t>
  </si>
  <si>
    <t>GRASIM INDUSTRIES LTD</t>
  </si>
  <si>
    <t>GREAT  INDIA  TEXTILE SHOW  -2024</t>
  </si>
  <si>
    <t>GRIHALAKSHMI TRADING PRIVATE LIMITED</t>
  </si>
  <si>
    <t>GRIHALAKSHMI TRADING PRIVATE LIMITED - MACHINE</t>
  </si>
  <si>
    <t>GULMOHAR CREATION</t>
  </si>
  <si>
    <t>GULMOHAR CREATION (PAPER)</t>
  </si>
  <si>
    <t>GULMOHAR CREATION(MACHINE)</t>
  </si>
  <si>
    <t>GUPTA PRINTERS</t>
  </si>
  <si>
    <t>GUPTA TEXTILES</t>
  </si>
  <si>
    <t>GURPARSAD CRAFTS</t>
  </si>
  <si>
    <t>H &amp; R ENTERPRISES</t>
  </si>
  <si>
    <t>H M CREATION</t>
  </si>
  <si>
    <t>H R FASHIONS</t>
  </si>
  <si>
    <t>H R FASHIONS-MACHINE</t>
  </si>
  <si>
    <t>HAFIZ PRINTS</t>
  </si>
  <si>
    <t>HANU CREATION PVT LTD</t>
  </si>
  <si>
    <t>HARIHAR DIGITAL-MACHINE</t>
  </si>
  <si>
    <t>HARIOMSHARAN DAVE</t>
  </si>
  <si>
    <t>HARISH MOOLCHAND NANDWAI</t>
  </si>
  <si>
    <t>HARNAVA TEX PRIVATE LIMITED</t>
  </si>
  <si>
    <t>HARSHAD DYEING AND PRINTING MILLS PVT LTD</t>
  </si>
  <si>
    <t>HARSIDDHY TRADING</t>
  </si>
  <si>
    <t>HEENA EMBROIDERY</t>
  </si>
  <si>
    <t>HEENA EMBROIDERY-MACHINE</t>
  </si>
  <si>
    <t>HEER FASHION</t>
  </si>
  <si>
    <t>HEER FASHION- MACHINE</t>
  </si>
  <si>
    <t>HETALBEN PATEL</t>
  </si>
  <si>
    <t>HI CHOICE PROCESSORS PVT LTD</t>
  </si>
  <si>
    <t>HIMANSHU PANKAJ BHANUSHALI</t>
  </si>
  <si>
    <t>HIRALBEN HIRENKUMAR PATEL</t>
  </si>
  <si>
    <t>HOMETEX TECH EXPO</t>
  </si>
  <si>
    <t>HONEY CREATION PVT LTD</t>
  </si>
  <si>
    <t>HRIDAY CORPORATION</t>
  </si>
  <si>
    <t>HSS TEXTILE PRIVATE LIMITED</t>
  </si>
  <si>
    <t>HSS TEXTILE PRIVATE LIMITED-MACHINE</t>
  </si>
  <si>
    <t>ICONIC PRINTS</t>
  </si>
  <si>
    <t>ICONIC PRINTS(MACHINE)</t>
  </si>
  <si>
    <t>IK ENTERPRISES</t>
  </si>
  <si>
    <t>INDIA EXPOSITION MART LTD</t>
  </si>
  <si>
    <t>INDIGO APPAREL FABRICATORS</t>
  </si>
  <si>
    <t>INDIGO APPAREL FABRICATORS-MACHINE</t>
  </si>
  <si>
    <t>INDIGO TRENDZ</t>
  </si>
  <si>
    <t>INDOCOUNT INDUSTRIES LTD</t>
  </si>
  <si>
    <t>INERTIA INTERNATIONAL</t>
  </si>
  <si>
    <t>INERTIA INTERNATIONAL-MACHINE</t>
  </si>
  <si>
    <t>INK STUDIO</t>
  </si>
  <si>
    <t>INTEGRATED APPAREL TECHN. AND FACILIT. CENTER  P.L.</t>
  </si>
  <si>
    <t>INTEGRATED APPAREL TECHNOLOGY AND FACILITATION CENTRE PVT LTD</t>
  </si>
  <si>
    <t>INTERNATIONAL FASHION</t>
  </si>
  <si>
    <t>IQBAL SINGH ARORA(KALPKALA)</t>
  </si>
  <si>
    <t>ISHAAN CREATION</t>
  </si>
  <si>
    <t>ITC LIMITED</t>
  </si>
  <si>
    <t>ITC LIMITED (BANGALORE)</t>
  </si>
  <si>
    <t>ITMACH INDIA</t>
  </si>
  <si>
    <t>ITME 2025</t>
  </si>
  <si>
    <t>IT'S CREATION</t>
  </si>
  <si>
    <t>J CROP INDIA</t>
  </si>
  <si>
    <t>J D DIGITAL PRINT</t>
  </si>
  <si>
    <t>J STUDIO</t>
  </si>
  <si>
    <t>J. ANAND FABRICS</t>
  </si>
  <si>
    <t>J. ANAND FABRICS - MACHINE</t>
  </si>
  <si>
    <t>J.P. PROCESSORS PVT LTD-MACHINE</t>
  </si>
  <si>
    <t>J.P. PROCESSORS PVT. LTD.</t>
  </si>
  <si>
    <t>JAANVI COLLECTION</t>
  </si>
  <si>
    <t>JAARA</t>
  </si>
  <si>
    <t>JAIN KNITTING &amp; DIGITAL</t>
  </si>
  <si>
    <t>JAIPURIA SILK MILLS PVT. LTD.</t>
  </si>
  <si>
    <t>JAIWIN KNIT FABS</t>
  </si>
  <si>
    <t>JAKHARIA FABRIC LIMITED</t>
  </si>
  <si>
    <t>JASMIN ISHVARLAL PATEL</t>
  </si>
  <si>
    <t>JAY AMBE DIGITAL PRINT</t>
  </si>
  <si>
    <t xml:space="preserve">MAYANK </t>
  </si>
  <si>
    <t>JAY AMBE DIGITAL PRINTS</t>
  </si>
  <si>
    <t>JAY AMBE FASHION PVT LTD</t>
  </si>
  <si>
    <t>JAY BHARAT  FINISH</t>
  </si>
  <si>
    <t>JAY CHEMICALS INDUSTRIES LTD</t>
  </si>
  <si>
    <t>JAY DIGI TEX</t>
  </si>
  <si>
    <t>JAY GOPAL HIRANAND</t>
  </si>
  <si>
    <t>JAY INDUSTRIAL CAMICALS PVT. LTD.</t>
  </si>
  <si>
    <t>JAY INDUSTRIAL CHEMICALS PVT LTD</t>
  </si>
  <si>
    <t>JAY INDUSTRIAL CHEMICALS PVT LTD-MACHINE</t>
  </si>
  <si>
    <t>JAY KHODIYAR FASHION</t>
  </si>
  <si>
    <t>JAY MATAJI CREATION</t>
  </si>
  <si>
    <t>JAY MATAJI CREATION-MACHINE</t>
  </si>
  <si>
    <t>JAYESH TEX FAB PVT.LIMITED</t>
  </si>
  <si>
    <t>JAYSHREE DIGITAL</t>
  </si>
  <si>
    <t>JAYSHREE DIGITAL -MACHINE</t>
  </si>
  <si>
    <t>JAYSWAL EMBROIDERY</t>
  </si>
  <si>
    <t>JAYSWAL EMBROIDERY-MACHINE</t>
  </si>
  <si>
    <t>JETSTAR INNOVATIONS PRIVATE LIMITED</t>
  </si>
  <si>
    <t>JIA TEX</t>
  </si>
  <si>
    <t>JINAAM DRESS LTD.</t>
  </si>
  <si>
    <t>JINENDRA DIGITAL WORLDS</t>
  </si>
  <si>
    <t>JYOTICA PRINT</t>
  </si>
  <si>
    <t>K K P FASHIONS PVT LTD</t>
  </si>
  <si>
    <t>K K P FASHIONS PVT LTD- MACHINE</t>
  </si>
  <si>
    <t>K K TRADERS</t>
  </si>
  <si>
    <t>K M FABRICS</t>
  </si>
  <si>
    <t>K P TRADERS</t>
  </si>
  <si>
    <t>K T ASSOCIATES</t>
  </si>
  <si>
    <t>K.D CREATION</t>
  </si>
  <si>
    <t>K.K. KNITWEARS</t>
  </si>
  <si>
    <t>K.R SAROJ KNITWEARS-MACHINE</t>
  </si>
  <si>
    <t>K.R.SAROJ KNITWARES(OLD)</t>
  </si>
  <si>
    <t>K.R.SAROJ KNITWEARS</t>
  </si>
  <si>
    <t>K.S. PRINTING SOLUTIONS</t>
  </si>
  <si>
    <t>K3 FABRIC HUB  PVT LTD</t>
  </si>
  <si>
    <t>K3 FABRIC HUB  PVT LTD(JPK)</t>
  </si>
  <si>
    <t>K3 FABRIC HUB  PVT LTD(Machine)</t>
  </si>
  <si>
    <t>KABADI SHANKARSA TEXTILE LTD.,</t>
  </si>
  <si>
    <t>KALA  ART TRENDZ</t>
  </si>
  <si>
    <t>KALA  ART TRENDZ - MACHINE</t>
  </si>
  <si>
    <t>KALA FASHIONS</t>
  </si>
  <si>
    <t>KALA FASHIONS - MACHINE</t>
  </si>
  <si>
    <t>KALAHANSH FASHIONS LLP</t>
  </si>
  <si>
    <t>KALAKRUTI PROCESSORS (P) LTD</t>
  </si>
  <si>
    <t>KALAKRUTI PROCESSORS (P) LTD(ADVANCE)</t>
  </si>
  <si>
    <t>KALAKRUTI PROCESSORS (P) LTD-MACHINE</t>
  </si>
  <si>
    <t>KALASH DIGITAL PRINTING MILLS</t>
  </si>
  <si>
    <t>KALONIA ENTERPRISES</t>
  </si>
  <si>
    <t>KALP KALA</t>
  </si>
  <si>
    <t>KALP KALA PRINTS</t>
  </si>
  <si>
    <t>KANIKA FASHIONS</t>
  </si>
  <si>
    <t>KANISHKA PRINTS PVT LTD</t>
  </si>
  <si>
    <t>KANISHKA PRINTS PVT LTD- MACHINE</t>
  </si>
  <si>
    <t>KARAN IMPEX (MACHINERY)</t>
  </si>
  <si>
    <t>KARAN TOSHNIWAL</t>
  </si>
  <si>
    <t>KARAN TOSHNIWAL (CAPITAL A/C)</t>
  </si>
  <si>
    <t>KARISHMA FASHION</t>
  </si>
  <si>
    <t>KARISHMA FASHION - MACHINE</t>
  </si>
  <si>
    <t>KASHISH NARESH JAIN</t>
  </si>
  <si>
    <t>KAUMUDI</t>
  </si>
  <si>
    <t>KAVYA TRENDZ</t>
  </si>
  <si>
    <t>KAYRAAH FASHION</t>
  </si>
  <si>
    <t>KAYTEX FABRIC PVT. LTD.</t>
  </si>
  <si>
    <t>KAYTEX FABRICS LIMITED</t>
  </si>
  <si>
    <t>KAYTEX FABRICS LIMITED - MACHINE</t>
  </si>
  <si>
    <t>KAYTEX FABRICS PRIVATE LIMITED</t>
  </si>
  <si>
    <t>KDR TEXTILES DIGITAL PRINTS</t>
  </si>
  <si>
    <t>KDR TEXTILES DIGITAL PRINTS- MACHINE</t>
  </si>
  <si>
    <t>KHATUSHYAM PROCESSORS PVT LTD</t>
  </si>
  <si>
    <t>KHODAL CREATION</t>
  </si>
  <si>
    <t>KHURSHID</t>
  </si>
  <si>
    <t>KHURSID ALAM</t>
  </si>
  <si>
    <t>KIMORA FASHIONS PVT. LTD.</t>
  </si>
  <si>
    <t>KIMORA FASHIONS PVT. LTD.-MACHINE</t>
  </si>
  <si>
    <t>KIRAN DESIGNER</t>
  </si>
  <si>
    <t>KISCO INDIA PVT LTD (AHMEDABAD)</t>
  </si>
  <si>
    <t>KISHORBHAI BHATURBHAI DHAMELIYA-MR CREATION</t>
  </si>
  <si>
    <t>KISHORI PRINTS</t>
  </si>
  <si>
    <t>KNIT PACKAGING SOLUTIONS LLP</t>
  </si>
  <si>
    <t>KNIT TECH -2026</t>
  </si>
  <si>
    <t>KOCHAR SUNG UP ACRYLIC LTD</t>
  </si>
  <si>
    <t>KP DIGITAL</t>
  </si>
  <si>
    <t>KRAYONS TEX FAB</t>
  </si>
  <si>
    <t>KRAYONS TEX FAB - MACHINE</t>
  </si>
  <si>
    <t>KRISHA ART DIGITAL</t>
  </si>
  <si>
    <t>KRISHNA CREATION</t>
  </si>
  <si>
    <t>KRISHNA DIGI PRINT</t>
  </si>
  <si>
    <t>KRISHNA DIGI PRINT- MACHINE</t>
  </si>
  <si>
    <t>KRISHNA DYEING &amp; PRINTING MILLS PVT. LTD.</t>
  </si>
  <si>
    <t>KRISHNA DYEING &amp; PRINTING MILLS PVT. LTD.- MACHINE</t>
  </si>
  <si>
    <t>KRISHNA PROCESSORS &amp; INDUSTRIES PVT. LTD.</t>
  </si>
  <si>
    <t>KRIYAA  S AND S DIGITAL</t>
  </si>
  <si>
    <t>KRIYAA  S AND S DIGITAL-MACHINE</t>
  </si>
  <si>
    <t>KSP DIGITAL</t>
  </si>
  <si>
    <t>KUMORA LLP</t>
  </si>
  <si>
    <t>LAKSHMI EXIM CORPORATION</t>
  </si>
  <si>
    <t>LALIT SHARMA</t>
  </si>
  <si>
    <t>LALJI TEXTILE</t>
  </si>
  <si>
    <t>LAXMI DIGITAL</t>
  </si>
  <si>
    <t>LAXMI DIGITAL-MACHINE</t>
  </si>
  <si>
    <t>LAXMI VISHNU SILK MILLS</t>
  </si>
  <si>
    <t>LAXMI VISHNU SILK MILLS.-MACHINE</t>
  </si>
  <si>
    <t>LEAF ART</t>
  </si>
  <si>
    <t>LEO &amp; LEO APPAREL PRINTS</t>
  </si>
  <si>
    <t>LEO &amp; LEO APPAREL PRINTS - MACHINE</t>
  </si>
  <si>
    <t>LOOKWELL</t>
  </si>
  <si>
    <t>LOTUS CREATION</t>
  </si>
  <si>
    <t>LOTUS FIVE DIGITAL WORLD</t>
  </si>
  <si>
    <t>LOTUS FIVE DIGITAL WORLD-MACHINE</t>
  </si>
  <si>
    <t>LOTUS KNITS</t>
  </si>
  <si>
    <t>LOTUS KNITS-MACHINE</t>
  </si>
  <si>
    <t>M EIGHT CREATIONS</t>
  </si>
  <si>
    <t>M EIGHT CREATIONS-MACHINE</t>
  </si>
  <si>
    <t>M K FASHIONS</t>
  </si>
  <si>
    <t>M K FASHIONS-MACHINE</t>
  </si>
  <si>
    <t>M R C MILLS PVT LTD</t>
  </si>
  <si>
    <t>M R CREATIONS</t>
  </si>
  <si>
    <t>M R CREATIONS- MACHINE</t>
  </si>
  <si>
    <t>M. M. EXPO FAB</t>
  </si>
  <si>
    <t>M.G CREATION</t>
  </si>
  <si>
    <t>M.G CREATION-MACHINE</t>
  </si>
  <si>
    <t>M.K.FABRICS</t>
  </si>
  <si>
    <t>M.K.FABRICS - MACHINE</t>
  </si>
  <si>
    <t>M.N. FASHION HUB</t>
  </si>
  <si>
    <t>M.N. FASHION HUB MACHINE</t>
  </si>
  <si>
    <t>M/S AVADH FAB TEX</t>
  </si>
  <si>
    <t>M/S AVADH FAB TEX-MACHINE</t>
  </si>
  <si>
    <t>M/S AVON COTTEX PRIVATE LIMITED</t>
  </si>
  <si>
    <t>M/S COLOR N STYLE PVT LTD</t>
  </si>
  <si>
    <t>M/S COLOUR N STYLE PVT. LTD.</t>
  </si>
  <si>
    <t>M/S CREATIVE PRINT WORLD</t>
  </si>
  <si>
    <t>M/S CREATIVE PRINT WORLD-MACHINE</t>
  </si>
  <si>
    <t>M/S DIGITAL PRINTS</t>
  </si>
  <si>
    <t>M/S FAB NATION IND</t>
  </si>
  <si>
    <t>M/S GOPI KRISHNA PROCESSORS PVT LTD UNIT-2</t>
  </si>
  <si>
    <t>M/S GOPI KRISHNA PROCESSORS PVT LTD UNIT-2-MACHINE</t>
  </si>
  <si>
    <t>M/S JAMINI INDUSTRIES PVT. LTD.</t>
  </si>
  <si>
    <t>M/S JINENDRA DIGITAL WORLDS</t>
  </si>
  <si>
    <t>M/S KISHORI PRINTS</t>
  </si>
  <si>
    <t>M/S LA KOUTURE APPARELS PRIVATE LIMITED</t>
  </si>
  <si>
    <t>M/s LA KOUTURE APPERALS PVT LTD</t>
  </si>
  <si>
    <t>M/S MONALISA</t>
  </si>
  <si>
    <t>M/S N.S ENTERPRISES</t>
  </si>
  <si>
    <t>M/S NEELIMA GRAPHICS</t>
  </si>
  <si>
    <t>M/S PRINTS FOREVER</t>
  </si>
  <si>
    <t>M/S RICHA PROCESSING MILL PVT LTD</t>
  </si>
  <si>
    <t>M/S S.Z.DIGITEX</t>
  </si>
  <si>
    <t>M/S S.Z.DIGITEX - MACHINE</t>
  </si>
  <si>
    <t>M/S SKYLARK DYEING PRIVATE LIMITED</t>
  </si>
  <si>
    <t>M/S SKYLARK DYEING PRIVATE LIMITED-MACHINE</t>
  </si>
  <si>
    <t>M/S SUBHAGYAM PRINTS PVT. LTD.(DELHI)</t>
  </si>
  <si>
    <t>M/S SUBHAGYAM PRINTS PVT.LTD.</t>
  </si>
  <si>
    <t>M/S SUBHAGYAM PRINTS PVT.LTD.-MACHINE</t>
  </si>
  <si>
    <t>M/s Vaishno Dye Chem Pvt. Ltd.</t>
  </si>
  <si>
    <t>M/S VISTOSO</t>
  </si>
  <si>
    <t>M/S. AJAY TEXO FAB</t>
  </si>
  <si>
    <t>M/S. APOLLO PROCESSORS PVT LTD</t>
  </si>
  <si>
    <t>M/S. APOLLO PROCESSORS PVT LTD - MACHINE</t>
  </si>
  <si>
    <t>M/S. CROSSA CREATION</t>
  </si>
  <si>
    <t>M/S. DASS PRINTS</t>
  </si>
  <si>
    <t>M/S. DASS PRINTS- MACHINE</t>
  </si>
  <si>
    <t>M/S. GOLD PAR APPAREL</t>
  </si>
  <si>
    <t>M/S. JINDAL TEXOFAB LTD</t>
  </si>
  <si>
    <t>M/S. JINDAL TEXOFAB LTD- MACHINE</t>
  </si>
  <si>
    <t>M/S. SHRI RAMANUJ FASHION-MACHINE</t>
  </si>
  <si>
    <t>M/S. TRYWOLF</t>
  </si>
  <si>
    <t>M/S. TRYWOLF - Machine</t>
  </si>
  <si>
    <t>M/S.AURO TEXTILES (A UNIT OF VARDHMAN TEXTILES LTD)</t>
  </si>
  <si>
    <t>M/S.RUSHABH PRINTS</t>
  </si>
  <si>
    <t>M/S.RUSHABH PRINTS MACHINE</t>
  </si>
  <si>
    <t>M/S.SITARAM DIGITAL PRINTS PVT LTD</t>
  </si>
  <si>
    <t>M/S.TEX  INDIA ENTERPRISES PVT LTD</t>
  </si>
  <si>
    <t>MAA DURGA FASHION</t>
  </si>
  <si>
    <t>MAA LAKSHMI ENTERPRISES</t>
  </si>
  <si>
    <t>MACRAME DESIGNERS PVT LTD</t>
  </si>
  <si>
    <t>MACRAME DESIGNS PRIVATE LIMITED</t>
  </si>
  <si>
    <t>MADHAV CREATION AND MATERIALS</t>
  </si>
  <si>
    <t>MADHAV CREATION AND MATERIALS-MACHINE</t>
  </si>
  <si>
    <t>MADHAV DIGITAL</t>
  </si>
  <si>
    <t>MADHAV DIGITAL-MACHINE</t>
  </si>
  <si>
    <t>MADHAV FASHIONS</t>
  </si>
  <si>
    <t>MADHAV HOME FURNISHING</t>
  </si>
  <si>
    <t>MADHAV PRINTS</t>
  </si>
  <si>
    <t>MADHAV PRINTS-MACHINE</t>
  </si>
  <si>
    <t>MADHAV SILK MILL</t>
  </si>
  <si>
    <t>MADHAV SILK MILLS</t>
  </si>
  <si>
    <t>MADHAV TEXTILE</t>
  </si>
  <si>
    <t>MADHAV VIPUL KAPADIA</t>
  </si>
  <si>
    <t>MADHU TEXTILE MILL</t>
  </si>
  <si>
    <t>MADHU TEXTILE MILL - MACHINE</t>
  </si>
  <si>
    <t>MADHURAM ARTS</t>
  </si>
  <si>
    <t>MADHURAM CREATION</t>
  </si>
  <si>
    <t>MADHURAM TRADING</t>
  </si>
  <si>
    <t>MAHA PRABHU TEXPRINT</t>
  </si>
  <si>
    <t>MAHALAKSHMI GARMENTS</t>
  </si>
  <si>
    <t>MAHATMA SHEKHAR SHIVDAS</t>
  </si>
  <si>
    <t>MAHAVIR PROCESS</t>
  </si>
  <si>
    <t>MAHAVIR TEX PRINTS PRIVET LIMITED COMPANY</t>
  </si>
  <si>
    <t>MAHEK SUITS</t>
  </si>
  <si>
    <t>MAHEK SUITS(MACHINE)</t>
  </si>
  <si>
    <t>MAHESH FASHION (INDIA)</t>
  </si>
  <si>
    <t>MAHESH FASHION (INDIA)-MACHINE</t>
  </si>
  <si>
    <t>MAJEKA TEXTILE PVT.LTD</t>
  </si>
  <si>
    <t>MALLOW INTERNATIONAL</t>
  </si>
  <si>
    <t>MALLOW INTERNATIONAL(RENT)</t>
  </si>
  <si>
    <t>MAMTA CRAFT PVT LTD</t>
  </si>
  <si>
    <t>MANGUKIYA JIGNESHBHAI DAMJIBHAI</t>
  </si>
  <si>
    <t>MANISH UPENDRA SHANGHVI (TOYO PRINTS)</t>
  </si>
  <si>
    <t>MANISHA TRADERS</t>
  </si>
  <si>
    <t>MANISHA TRADERS- MACHINE</t>
  </si>
  <si>
    <t>MANJUUBAA DIGITAL PRINTING</t>
  </si>
  <si>
    <t>MANMOHAN</t>
  </si>
  <si>
    <t>MANMOHAN TOTLA</t>
  </si>
  <si>
    <t>MANSI DIGITALS</t>
  </si>
  <si>
    <t>MARUTI EXIM</t>
  </si>
  <si>
    <t>MARUTI TEXTILES</t>
  </si>
  <si>
    <t>MATOBHYAM ART</t>
  </si>
  <si>
    <t>MATOBHYAM ART - MACHINE</t>
  </si>
  <si>
    <t>MAYURA TEXTILES</t>
  </si>
  <si>
    <t>MDP INDUSTRIES PRIVATE LIMITED</t>
  </si>
  <si>
    <t>MEERA DIGITEX</t>
  </si>
  <si>
    <t>MEERA DIGITEX - MACHINE</t>
  </si>
  <si>
    <t>MEHAR DIGITALS</t>
  </si>
  <si>
    <t>MEHAR DIGITALS (NOIDA)</t>
  </si>
  <si>
    <t>MEHFUZA CREATION</t>
  </si>
  <si>
    <t>MEHFUZA CREATION-MACHINE</t>
  </si>
  <si>
    <t>MEHRA CREATIONS</t>
  </si>
  <si>
    <t>MEXUM TEXINK PRIVATE LIMITED</t>
  </si>
  <si>
    <t>MICROJET PRINTERS</t>
  </si>
  <si>
    <t>MICROJET PRINTERS-MACHINE</t>
  </si>
  <si>
    <t>MIRAYA INFINITY PRIVATE LIMITED</t>
  </si>
  <si>
    <t>MITTAL DYEING PVT LTD</t>
  </si>
  <si>
    <t>MITTAL INTERNATIONAL</t>
  </si>
  <si>
    <t>MODERN DIGITAL CENTRE</t>
  </si>
  <si>
    <t>MOHIT CREATIONS</t>
  </si>
  <si>
    <t>MONY PRINTS PRIVATE LIMITED</t>
  </si>
  <si>
    <t>MONY PRINTS PRIVATE LIMITED - MACHINE</t>
  </si>
  <si>
    <t>MRC MILLS PRIVATE LIMITED</t>
  </si>
  <si>
    <t>MUDRA CREATIONS</t>
  </si>
  <si>
    <t>MURARKA FASHION PVT LTD-ROSHNI</t>
  </si>
  <si>
    <t>MYRA  CREATION</t>
  </si>
  <si>
    <t>N.H.H. TEXTILE PROCESSORS</t>
  </si>
  <si>
    <t>NAGENDRA</t>
  </si>
  <si>
    <t>NAKUL</t>
  </si>
  <si>
    <t>NALINI ORIGINALS</t>
  </si>
  <si>
    <t>NAMAN MINISH SHAH</t>
  </si>
  <si>
    <t>NAMO CREATIONS</t>
  </si>
  <si>
    <t>NAMYAAH DIGITALS</t>
  </si>
  <si>
    <t>NAMYAAH DIGITALS - MACHINE</t>
  </si>
  <si>
    <t>NANAK TEX FAB</t>
  </si>
  <si>
    <t>NANDESHWAR FASHION</t>
  </si>
  <si>
    <t>NANDESHWAR FASHION-MACHINE</t>
  </si>
  <si>
    <t>NANDINI PROCESSORS</t>
  </si>
  <si>
    <t>NANDRAMKA CREATIONS LLP</t>
  </si>
  <si>
    <t>NARAYANI UDYOG</t>
  </si>
  <si>
    <t>NARAYANI UDYOG MACHINE</t>
  </si>
  <si>
    <t>NAVDHA CREATION</t>
  </si>
  <si>
    <t>NAVKAR CREATION</t>
  </si>
  <si>
    <t>NAVKAR FAB</t>
  </si>
  <si>
    <t>NAVKAR FAB-MACHINE</t>
  </si>
  <si>
    <t>NAVRANG DIGITAL</t>
  </si>
  <si>
    <t>NAV-RATNA TEXTILES MILLS PVT LTD</t>
  </si>
  <si>
    <t>NAV-RATNA TEXTILES MILLS PVT LTD(ADVANCES)</t>
  </si>
  <si>
    <t>NAVYUG FASHION</t>
  </si>
  <si>
    <t>NEELGIRI PRINTER</t>
  </si>
  <si>
    <t>NEERMAYA PROCESS LLP</t>
  </si>
  <si>
    <t>NEHA CREATION</t>
  </si>
  <si>
    <t>NEHA CREATION-MACHINE</t>
  </si>
  <si>
    <t>NEKSTAR TEXPRINTS</t>
  </si>
  <si>
    <t>NEW CENTURY FILAMENTS PVT LTD</t>
  </si>
  <si>
    <t>NEXT GEN PRINT SOLUTION</t>
  </si>
  <si>
    <t>NEXTGEN DIGITAL PRINTS</t>
  </si>
  <si>
    <t>NEXTGEN DIGITAL PRINTS - MACHINE</t>
  </si>
  <si>
    <t>NIDHI KNIT</t>
  </si>
  <si>
    <t>NILAMBER DYEING AND BLEACHING MILLS PVT LTD</t>
  </si>
  <si>
    <t>NILKANTH PRINT</t>
  </si>
  <si>
    <t>NILKANTH PRINT-MACHINE</t>
  </si>
  <si>
    <t>NILKANTH PRINTS</t>
  </si>
  <si>
    <t>NILKANTH PRINTS-MACHINE</t>
  </si>
  <si>
    <t>NILKANTH V CREATION LLP</t>
  </si>
  <si>
    <t>NILKANTH V CREATION LLP-SALES</t>
  </si>
  <si>
    <t>NIRMAL KUMAR YESUDASS</t>
  </si>
  <si>
    <t>NIRVANA FAB ART</t>
  </si>
  <si>
    <t>NIRVANA FAB ART MACHINE</t>
  </si>
  <si>
    <t>NISH CREATIONS</t>
  </si>
  <si>
    <t>NISH CREATIONS-MACHINE</t>
  </si>
  <si>
    <t>NITIN ENTERPRISES</t>
  </si>
  <si>
    <t>NITIN ENTERPRISES-MACHINE</t>
  </si>
  <si>
    <t>NIVA'S DESIGNS</t>
  </si>
  <si>
    <t>NIVON TEXTILE IND.PVT LTD</t>
  </si>
  <si>
    <t>NIVON TEXTILE IND.PVT LTD - MACHINE</t>
  </si>
  <si>
    <t>NIVYA PRINTS</t>
  </si>
  <si>
    <t>NIVYA PRINTS(MACHINE)</t>
  </si>
  <si>
    <t>NKM FASHION</t>
  </si>
  <si>
    <t>NOBLETEX INDUSTRIES LTD</t>
  </si>
  <si>
    <t>NOBLETEX INDUSTRIES LTD- MACHINE</t>
  </si>
  <si>
    <t>O FAB</t>
  </si>
  <si>
    <t>OEQUAL FASHION (O FAB)</t>
  </si>
  <si>
    <t>OFFICE</t>
  </si>
  <si>
    <t>OGSAN EXPORT AND IMPORT CO</t>
  </si>
  <si>
    <t>OM DIGITAL PRINT</t>
  </si>
  <si>
    <t>OM FAB</t>
  </si>
  <si>
    <t>OM FAB(MACHINE)</t>
  </si>
  <si>
    <t>OM PRINT</t>
  </si>
  <si>
    <t>OM PRINTS</t>
  </si>
  <si>
    <t>OM PROCESS</t>
  </si>
  <si>
    <t>OM PROCESS - MACHINE</t>
  </si>
  <si>
    <t>OM PROCESSAR PVT LTD</t>
  </si>
  <si>
    <t>OM SAI PROCESSORS</t>
  </si>
  <si>
    <t>OMKAR FASHION</t>
  </si>
  <si>
    <t>80 Days</t>
  </si>
  <si>
    <t>OMKAR TEXTILE MILLS PRIVATE LIMITED</t>
  </si>
  <si>
    <t>OMKARA DIGITAL PRINTS</t>
  </si>
  <si>
    <t>OMKARA DIGITAL TRADING</t>
  </si>
  <si>
    <t>OMKARA DIGITAL TRADING-MACHINE</t>
  </si>
  <si>
    <t>OMKARA DIGITAL WORLD</t>
  </si>
  <si>
    <t>OMKARA DIGITAL WORLD-MACHINE</t>
  </si>
  <si>
    <t>ONE INCH MATERIALS LLP (SALES)</t>
  </si>
  <si>
    <t>ONETOUCH CREATION</t>
  </si>
  <si>
    <t>ONIX TEXOVATION PRIVATE LIMITED</t>
  </si>
  <si>
    <t>ONKAR</t>
  </si>
  <si>
    <t>ORANGE ENTERPRISES</t>
  </si>
  <si>
    <t>ORANGE O TEC</t>
  </si>
  <si>
    <t>ORANGE O TEC ENTERPRISES PRIVATE LIMITED-NOIDA (P)</t>
  </si>
  <si>
    <t>ORANGE O TEC ENTERPRISES PRIVATE LIMITED-NOIDA (S)</t>
  </si>
  <si>
    <t>RELATED PARTY</t>
  </si>
  <si>
    <t>ORANGE O TEC ENTERPRISES PVT LTD (SALE)</t>
  </si>
  <si>
    <t>ORANGE O TEC ENTERPRISES PVT LTD(JOB)</t>
  </si>
  <si>
    <t>ORANGE O TEC PRIVATE LIMITED(NOIDA)</t>
  </si>
  <si>
    <t>ORANGE O TEC PRIVATE LIMITED-SURAT-SALES</t>
  </si>
  <si>
    <t>ORANGE O TEC PVT LTD (GREEN PARK )</t>
  </si>
  <si>
    <t>ORANGE O TEC PVT LTD (HOJIWALA-1)</t>
  </si>
  <si>
    <t>ORANGE O TEC PVT LTD (HOJIWALA-2)</t>
  </si>
  <si>
    <t>ORANGE O TEC PVT LTD (NOIDA)-SALES</t>
  </si>
  <si>
    <t>ORANGE O TEC PVT LTD(JOB WORK)</t>
  </si>
  <si>
    <t>ORANGE O TEC PVT LTD-SURAT (S)</t>
  </si>
  <si>
    <t>ORCHID ENT OUTFIT PRIVATE LIMITED</t>
  </si>
  <si>
    <t>ORCHID ENTERPRISES</t>
  </si>
  <si>
    <t>ORPHIC EMBRODERY</t>
  </si>
  <si>
    <t>ORPHIC EMBROIDERY</t>
  </si>
  <si>
    <t>PACK SYSTEMS</t>
  </si>
  <si>
    <t>PACKAGING IMPRESSION</t>
  </si>
  <si>
    <t>PADRAJ TEXTILES PVT. LTD</t>
  </si>
  <si>
    <t>40</t>
  </si>
  <si>
    <t>PADRAJ TEXTILES PVT. LTD - Machine</t>
  </si>
  <si>
    <t>PALM PRINTZ</t>
  </si>
  <si>
    <t>PANACHE CREATION</t>
  </si>
  <si>
    <t>PANACHE CREATION-MACHINE</t>
  </si>
  <si>
    <t>PANORAMMA PRINT</t>
  </si>
  <si>
    <t>PAPER DREAM</t>
  </si>
  <si>
    <t>PAPERDREAMS PVT LTD</t>
  </si>
  <si>
    <t>PARAGON PACKAGINGS</t>
  </si>
  <si>
    <t>PARAMJI LACE-M R  CREATION</t>
  </si>
  <si>
    <t>PARAS PRINTS PVT LTD</t>
  </si>
  <si>
    <t>PARMATMA INDUSTRIES</t>
  </si>
  <si>
    <t>PARMATMA INDUSTRIES - MACHINE</t>
  </si>
  <si>
    <t>PARTH CREATION</t>
  </si>
  <si>
    <t>PARULBEN ANILKUMAR DESAI</t>
  </si>
  <si>
    <t>PARULBEN ANILKUMAR DESAI-MACHINE</t>
  </si>
  <si>
    <t>PASHUPATI DIGITAL PRINTS LLP</t>
  </si>
  <si>
    <t>PASMINA DESIGN</t>
  </si>
  <si>
    <t>PASMINA DESIGN - MACHINE</t>
  </si>
  <si>
    <t>PATEL INTERNATIONAL</t>
  </si>
  <si>
    <t>50 Days</t>
  </si>
  <si>
    <t>PATEL INTERNATIONAL-MACHINE</t>
  </si>
  <si>
    <t>PEACOCK DIGITAL PRINTS</t>
  </si>
  <si>
    <t>PEACOCK DIGITAL PRINTS-MACHINE</t>
  </si>
  <si>
    <t>PEACOCK DIGITAL WORLD</t>
  </si>
  <si>
    <t>PEACOCK DIGITAL WORLD-ADVANCE</t>
  </si>
  <si>
    <t>PEACOCK DIGITAL WORLD-Machine</t>
  </si>
  <si>
    <t>PERFECT DIGITEXX</t>
  </si>
  <si>
    <t>PICATYPE SYSTEMS PVT LTD</t>
  </si>
  <si>
    <t>PINK CREATION</t>
  </si>
  <si>
    <t>PIONEER DYEING PVT LTD</t>
  </si>
  <si>
    <t>7</t>
  </si>
  <si>
    <t>PIONEER DYEING PVT LTD-MACHINE</t>
  </si>
  <si>
    <t>PNS DIGITAL PRINTS</t>
  </si>
  <si>
    <t>PNS DIGITAL PRINTS-MACHINE</t>
  </si>
  <si>
    <t>POOJA ENTERPRISES-SALES</t>
  </si>
  <si>
    <t>POOJA FASHION</t>
  </si>
  <si>
    <t>POONAM DIGITAL</t>
  </si>
  <si>
    <t>POONAM DIGITEX</t>
  </si>
  <si>
    <t>POONAM DIGITEX - MACHINE</t>
  </si>
  <si>
    <t>POONAM TEXTILE</t>
  </si>
  <si>
    <t>PRABAL DIGITAL FABRIC STUDIO</t>
  </si>
  <si>
    <t>PRABAL DIGITAL FABRIC STUDIO -MACHINE</t>
  </si>
  <si>
    <t>PRACHI ENTERPRISE</t>
  </si>
  <si>
    <t>PRADEEP JAIN-NAVKAR CREATION</t>
  </si>
  <si>
    <t>PRADEEPKUMAR RAMKISHAN KHANDELWAL</t>
  </si>
  <si>
    <t>PRAGATI FASHIONS</t>
  </si>
  <si>
    <t>PRAMUKH DIGITAL TRENDS</t>
  </si>
  <si>
    <t>PRATHANA CREATION</t>
  </si>
  <si>
    <t>PRATIK KHATRI</t>
  </si>
  <si>
    <t>PRATISTHA PRINTS</t>
  </si>
  <si>
    <t>PRAYAGRAJ DIGITAL</t>
  </si>
  <si>
    <t>PRAYAGRAJ DYEING AND PRINTING MILLS PVT LTD</t>
  </si>
  <si>
    <t>PRAYAGRAJ DYEING AND PRINTING MILLS PVT LTD-MACHINE</t>
  </si>
  <si>
    <t>PRECISION GRINDING WORKS</t>
  </si>
  <si>
    <t>PREET INC</t>
  </si>
  <si>
    <t>PREET JNC</t>
  </si>
  <si>
    <t>PREMIER SPG &amp; WVG MILLS PVT LTD</t>
  </si>
  <si>
    <t>PREMIER SPG AND WVG MILLS PVT. LTD.</t>
  </si>
  <si>
    <t>PRIME ART</t>
  </si>
  <si>
    <t>PRINT CREATION</t>
  </si>
  <si>
    <t>PRINT N FUSION</t>
  </si>
  <si>
    <t>PRINT ON DEMAND SERVICES PVT LTD</t>
  </si>
  <si>
    <t>PRINT PALETTE</t>
  </si>
  <si>
    <t>PRINT PALETTE-MACHINE</t>
  </si>
  <si>
    <t>PRINT PALLATE</t>
  </si>
  <si>
    <t>PRINTEX ENTERPRISE</t>
  </si>
  <si>
    <t>PRINTEX WORLD</t>
  </si>
  <si>
    <t>PRINTS FOREVER - MACHINE</t>
  </si>
  <si>
    <t>PRISM DIGITAL</t>
  </si>
  <si>
    <t>PRIYA CREATION</t>
  </si>
  <si>
    <t>PRIYANA SUPPLIERS</t>
  </si>
  <si>
    <t>PRIYANKA IMPEX PVT. LTD.</t>
  </si>
  <si>
    <t>PRIYANKA SILK MILLS</t>
  </si>
  <si>
    <t>PSK EXPORT</t>
  </si>
  <si>
    <t>PSK EXPORTS</t>
  </si>
  <si>
    <t>PUROHIT TECHNO TEX</t>
  </si>
  <si>
    <t>PUSHPA  ENTERPRISES</t>
  </si>
  <si>
    <t>R D DYEING AND PRINTING MILLS PVT LTD</t>
  </si>
  <si>
    <t>R D PASHMA</t>
  </si>
  <si>
    <t>R K GRAPHICS</t>
  </si>
  <si>
    <t>R M FASHION</t>
  </si>
  <si>
    <t>R R HOME FURNISHING</t>
  </si>
  <si>
    <t>R S PRINTS</t>
  </si>
  <si>
    <t>R STUDIO</t>
  </si>
  <si>
    <t>R STUDIO-MACHINE</t>
  </si>
  <si>
    <t>R.M.P. FAB SOURCING PVT. LTD.</t>
  </si>
  <si>
    <t>R.N.S TEX FAB</t>
  </si>
  <si>
    <t>R.S.PRINT SOLUTION PRIVATE LIMITED</t>
  </si>
  <si>
    <t>RACHNA ART PRINTS PVT LTD</t>
  </si>
  <si>
    <t>RACHNA ART PRINTS PVT LTD - MACHINE</t>
  </si>
  <si>
    <t>RADHA SWAMI CHEMICAL</t>
  </si>
  <si>
    <t>RADHE FASHION</t>
  </si>
  <si>
    <t>RADHE RAYON</t>
  </si>
  <si>
    <t>RADHE RAYON- MACHINE</t>
  </si>
  <si>
    <t>RADHEY KRISHNA PRINTING WORKS</t>
  </si>
  <si>
    <t>RADHEY KRISHNA PRINTING WORKS - MACHINE</t>
  </si>
  <si>
    <t>RADHIKA KNITWEARS</t>
  </si>
  <si>
    <t>RAGHAV INDUSTRIES</t>
  </si>
  <si>
    <t>RAHUL SUNIL RAMAWAT (SIYARAM DIGITAL)</t>
  </si>
  <si>
    <t>RAIN DIGITAL</t>
  </si>
  <si>
    <t>RAIN DIGITAL- MACHINE</t>
  </si>
  <si>
    <t>RAINBOW DIGITAL PRINT-MACHINE</t>
  </si>
  <si>
    <t>RAINBOW DIGITAL PRINTS</t>
  </si>
  <si>
    <t>RAJ EXPORTS</t>
  </si>
  <si>
    <t>RAJ SCREEN PRINTS</t>
  </si>
  <si>
    <t>RAJ SCREEN PRINTS - MACHINE</t>
  </si>
  <si>
    <t>RAJIV SILK MILLS</t>
  </si>
  <si>
    <t>RAJIV SILK MILLS - MACHINE</t>
  </si>
  <si>
    <t>RAJLAXMI APPARELS</t>
  </si>
  <si>
    <t>RAJLAXMI ARTS</t>
  </si>
  <si>
    <t>RAJLAXMI DIGITAL</t>
  </si>
  <si>
    <t>RAJLAXMI DIGITAL -MACHINE</t>
  </si>
  <si>
    <t>RAJLAXMI PRINTS PVT.LTD</t>
  </si>
  <si>
    <t>RAKAM EXPORTS</t>
  </si>
  <si>
    <t>RAKESH D PATEL</t>
  </si>
  <si>
    <t>RAKSHA AMARSINH DARBAR (SAHIL KATRODIYA)</t>
  </si>
  <si>
    <t>RAM KRISHNA TEXTILES</t>
  </si>
  <si>
    <t>RAM SARAN  TEXTILES</t>
  </si>
  <si>
    <t>RAMA WEAVES</t>
  </si>
  <si>
    <t>RAMA WEAVES - MACHINE</t>
  </si>
  <si>
    <t>RAMANUJ SYNTHETICS PRIVATE LIMITED</t>
  </si>
  <si>
    <t>RAMDARBAR DIGITAL</t>
  </si>
  <si>
    <t>RAMESHWAR TEXTILES</t>
  </si>
  <si>
    <t>RAMKUMAR MILLS PVT. LTD.</t>
  </si>
  <si>
    <t>RAMLAXMAN INDUSTRIES PVT LTD</t>
  </si>
  <si>
    <t>RAMLAXMAN INDUSTRIES PVT LTD-(MACHINE)</t>
  </si>
  <si>
    <t>RANI PRINTER</t>
  </si>
  <si>
    <t>RAOPS ENET PO</t>
  </si>
  <si>
    <t>RATAN TEXTILES PVT LTD</t>
  </si>
  <si>
    <t>RATAN TEXTILES PVT LTD - MACHINE</t>
  </si>
  <si>
    <t>RECKON INTERNATIONAL</t>
  </si>
  <si>
    <t>REGALIAN HOME CONCEPTS PRIVATE LIMITED</t>
  </si>
  <si>
    <t>REGALIAN HOME CONCEPTS PRIVATE LIMITED-MACHINE</t>
  </si>
  <si>
    <t>REGENT TEXTILES PRIVATE LIMITED</t>
  </si>
  <si>
    <t>RELIABLE DIGITEX</t>
  </si>
  <si>
    <t>RENU DYE CHEM</t>
  </si>
  <si>
    <t>RENUKA COUCHING WORK</t>
  </si>
  <si>
    <t>REX TONE INDUSTRIES LTD</t>
  </si>
  <si>
    <t>RGM TEXTILE PVT LTD</t>
  </si>
  <si>
    <t>RGM TEXTILE PVT LTD - MACHINE</t>
  </si>
  <si>
    <t>RICHA PROCESSING MILL PVT. LTD.</t>
  </si>
  <si>
    <t>RIDDHI CREATION</t>
  </si>
  <si>
    <t>RIDDHI SIDDHI(POONAM TEXTILE)</t>
  </si>
  <si>
    <t>RIDDHIMAN MILLS TEXTILE PRINTING</t>
  </si>
  <si>
    <t>RIDTZ FASHION</t>
  </si>
  <si>
    <t>RIDTZ FASHION-MACHINE</t>
  </si>
  <si>
    <t>RISHI OFFSET</t>
  </si>
  <si>
    <t>RIZZA CREATION</t>
  </si>
  <si>
    <t>RIZZA CREATION-MACHINE</t>
  </si>
  <si>
    <t>RK FASHION ART</t>
  </si>
  <si>
    <t>RK FASHION ART MACHINE</t>
  </si>
  <si>
    <t>RK KARNISH CREATION</t>
  </si>
  <si>
    <t>RK KARNISH CREATION-MACHINE</t>
  </si>
  <si>
    <t>ROBINTEX  (BANGLADESH) LIMITED</t>
  </si>
  <si>
    <t>ROOMY INDUSTRIES</t>
  </si>
  <si>
    <t>70</t>
  </si>
  <si>
    <t>70 Days</t>
  </si>
  <si>
    <t>ROOMY INDUSTRIES-MACHINE</t>
  </si>
  <si>
    <t>ROOP TRADING COMPANY</t>
  </si>
  <si>
    <t>ROSHNI CREATIONS PRIVATE LIMITED</t>
  </si>
  <si>
    <t>ROSHNI CREATIONS PRIVATE LIMITED - MACHINE</t>
  </si>
  <si>
    <t>ROSSO PURE AIR PRODUCTS</t>
  </si>
  <si>
    <t>ROSSO PURE AIR PRODUCTS - PANIPAT</t>
  </si>
  <si>
    <t>ROSSO PURE AIR PRODUCTS MACHINE</t>
  </si>
  <si>
    <t>ROYAL DESIGNS</t>
  </si>
  <si>
    <t>RUCHIRA ARORA</t>
  </si>
  <si>
    <t>RUDRA ART AND CREATION GALARY</t>
  </si>
  <si>
    <t>RUDRA ART AND CREATION GALARY-MACHINE</t>
  </si>
  <si>
    <t>RUDRAA DIGITAL SOLUTIONS</t>
  </si>
  <si>
    <t>RUDRAKSH PRINT</t>
  </si>
  <si>
    <t>S F ENTERPRISES</t>
  </si>
  <si>
    <t>S F ENTERPRISES (GUJARAT)</t>
  </si>
  <si>
    <t>S K ENTERPRISE</t>
  </si>
  <si>
    <t>S K ENTERPRISE - MACHINE</t>
  </si>
  <si>
    <t>S.J.PACKAGING PVT LTD</t>
  </si>
  <si>
    <t>S.K. OVERSEAS (INC)</t>
  </si>
  <si>
    <t>S.N.ENTERPRISES</t>
  </si>
  <si>
    <t>SAANVI ENTERPRISES</t>
  </si>
  <si>
    <t>SAARVI TRENDZ</t>
  </si>
  <si>
    <t>SAHELI TEXPORTS PVT LTD</t>
  </si>
  <si>
    <t>SAHELI TEXPORTS PVT LTD(MACHINE)</t>
  </si>
  <si>
    <t>SAHIBA LIMITED</t>
  </si>
  <si>
    <t>SAHIL KATRODIYA</t>
  </si>
  <si>
    <t>SAI CREATION</t>
  </si>
  <si>
    <t>SAI CREATION - MACHINE</t>
  </si>
  <si>
    <t>SAI DIGITEX</t>
  </si>
  <si>
    <t>55</t>
  </si>
  <si>
    <t>55 Days</t>
  </si>
  <si>
    <t>SAI FASHION</t>
  </si>
  <si>
    <t>SAI SHODDY TRADERS</t>
  </si>
  <si>
    <t>SAI SHODDY TRADERS-MACHINE</t>
  </si>
  <si>
    <t>SAINI ENTERPRISE</t>
  </si>
  <si>
    <t>SAJNI FASHION</t>
  </si>
  <si>
    <t>SALASAR PRINT</t>
  </si>
  <si>
    <t>SALASAR PRINTS</t>
  </si>
  <si>
    <t>SAMART FASHION</t>
  </si>
  <si>
    <t>SAMEER ENTERPRISES</t>
  </si>
  <si>
    <t>SAMJUBA ENTERPRISE</t>
  </si>
  <si>
    <t>SANDIYA EXPORTS PRIVATE LIMITED</t>
  </si>
  <si>
    <t>SANGINI DESIGNER WARES LIMITED</t>
  </si>
  <si>
    <t>SANKALP CREATION</t>
  </si>
  <si>
    <t>SANWARI ENTERPRISES</t>
  </si>
  <si>
    <t>SARJAN  PRINTS</t>
  </si>
  <si>
    <t>SAROJ ART PRINTERS</t>
  </si>
  <si>
    <t>SAV HOSIERY</t>
  </si>
  <si>
    <t>SECURIPAX PACKAGING PVT LTD</t>
  </si>
  <si>
    <t>SERACOT FABRICS LLP</t>
  </si>
  <si>
    <t>SHAGUN ENTERPRISE</t>
  </si>
  <si>
    <t>SHAH TRADERS</t>
  </si>
  <si>
    <t>SHAILENDER DYEING</t>
  </si>
  <si>
    <t>SHALEEN SILK MILLS</t>
  </si>
  <si>
    <t>SHALEEN SILK MILLS - MACHINE</t>
  </si>
  <si>
    <t>SHALIN BHIRENBHAI VAIDYA</t>
  </si>
  <si>
    <t>SHAN TEXTILES PRIVATE LIMITED</t>
  </si>
  <si>
    <t>SHANTI FASHION-MACHINE</t>
  </si>
  <si>
    <t>SHANTI PACKAGING INDUSTRIES</t>
  </si>
  <si>
    <t>SHARDA DIGITAL PRINTS</t>
  </si>
  <si>
    <t>SHASHWATI PRINTER SOLUTION</t>
  </si>
  <si>
    <t>SHETRUNJAY DYEING &amp; WEAVING MILLS LIMITED</t>
  </si>
  <si>
    <t>SHIV ENTERPRICES</t>
  </si>
  <si>
    <t>SHIV ENTERPRISE</t>
  </si>
  <si>
    <t>SHIV SHAKTI TEXTILE INDUSTRIES PVT LTD</t>
  </si>
  <si>
    <t>SHIV SHAKTI TEXTILE INDUSTRIES PVT LTD- MACHINE</t>
  </si>
  <si>
    <t>SHIVAM FASHIONS</t>
  </si>
  <si>
    <t>SHIVANI TRADE INDIA</t>
  </si>
  <si>
    <t>SHIVANSH ART</t>
  </si>
  <si>
    <t>SHIVANSH ART - MACHINE</t>
  </si>
  <si>
    <t>SHIVRAM PROCESSORS</t>
  </si>
  <si>
    <t>SHIVRAM PROCESSORS-MACHINE</t>
  </si>
  <si>
    <t>SHOBHAWAT INDUSTRIES</t>
  </si>
  <si>
    <t>SHOBHAWAT INDUSTRIES - MACHINE</t>
  </si>
  <si>
    <t>SHRADHA CREATIONS</t>
  </si>
  <si>
    <t>SHREE BALAJEE AND CO.</t>
  </si>
  <si>
    <t>SHREE BALAJI BUSINESS SYNDICATE</t>
  </si>
  <si>
    <t>SHREE BANKE BIHARI TEX</t>
  </si>
  <si>
    <t>SHREE BHAVYA FABRICS LIMITED</t>
  </si>
  <si>
    <t>SHREE BHAVYA FABRICS LIMITED - MACHINE</t>
  </si>
  <si>
    <t>SHREE FASHION</t>
  </si>
  <si>
    <t>SHREE HARI DIGITAL</t>
  </si>
  <si>
    <t>SHREE JAGDAMBA DYG AND PTG MILLS PVT LTD</t>
  </si>
  <si>
    <t>20</t>
  </si>
  <si>
    <t>SHREE JAGDAMBA DYG AND PTG MILLS PVT LTD-MACHINE</t>
  </si>
  <si>
    <t>SHREE KAIVAL TEXTILES</t>
  </si>
  <si>
    <t>SHREE KRISHNA EMBROIDERY</t>
  </si>
  <si>
    <t>SHREE KRISHNA FOIL CO.</t>
  </si>
  <si>
    <t>SHREE LAKSHMI DIGITAL</t>
  </si>
  <si>
    <t>SHREE LAXMI FASHION</t>
  </si>
  <si>
    <t>SHREE LAXMI FASHION MACHINE</t>
  </si>
  <si>
    <t>SHREE MAHALAXMI DIGITAL PRINTING</t>
  </si>
  <si>
    <t>SHREE MEENA LIFE STYLE</t>
  </si>
  <si>
    <t>SHREE MEENA LIFE STYLE- MACHINE</t>
  </si>
  <si>
    <t>SHREE NANDESHWAR PROCESSORS PRIVATE LIMITED</t>
  </si>
  <si>
    <t>SHREE OM CREATION</t>
  </si>
  <si>
    <t>SHREE OM DIGITAL</t>
  </si>
  <si>
    <t>SHREE OM DIGITAL - MACHINE</t>
  </si>
  <si>
    <t>SHREE PAVAN TEXTILES</t>
  </si>
  <si>
    <t>SHREE PAVAN TEXTILES-MACHINE</t>
  </si>
  <si>
    <t>SHREE RAJ RAJSHWARI SILK MILLS</t>
  </si>
  <si>
    <t>SHREE RAM INDUSTRIES</t>
  </si>
  <si>
    <t>SHREE RAMA KRISHNA PRINTS</t>
  </si>
  <si>
    <t>SHREE RAMANUJ DYEING AND PRINTING MILLS</t>
  </si>
  <si>
    <t>SHREE RAMANUJ DYEING AND PRINTING MILLS(MACHINE)</t>
  </si>
  <si>
    <t>SHREE RANISATI PROCESSORS PVT LTD</t>
  </si>
  <si>
    <t>SHREE SACHIDANAND INDUSTRIES PVT LTD</t>
  </si>
  <si>
    <t>SHREE SACHIDANAND INDUSTRIES PVT LTD-MACHINE</t>
  </si>
  <si>
    <t>SHREE SAI DIGITEX</t>
  </si>
  <si>
    <t>SHREE SAI DIGITEX (LAXMI DIVISION)</t>
  </si>
  <si>
    <t>SHREE SAI DIGITEX (LAXMI DIVISION) - MACHINE</t>
  </si>
  <si>
    <t>SHREE SAI DIGITEX(SACHIN DIVISION)</t>
  </si>
  <si>
    <t>SHREE SAI DIGITEX(SACHIN DIVISION) MACHINE</t>
  </si>
  <si>
    <t>SHREE SAI DIGITEX-MACHINE</t>
  </si>
  <si>
    <t>SHREE SANGHVI CREATION</t>
  </si>
  <si>
    <t>SHREE SHANKAR SILK MILLS  PVT LTD</t>
  </si>
  <si>
    <t>SHREE SHANKAR SILK MILLS  PVT LTD- MACHINE</t>
  </si>
  <si>
    <t>SHREE SHYAM CREATION</t>
  </si>
  <si>
    <t>SHREE TEX CREATION PVT LTD</t>
  </si>
  <si>
    <t>SHREE TEX CREATION PVT LTD - MACHINE</t>
  </si>
  <si>
    <t>SHREE VISHNU PROCESSORS</t>
  </si>
  <si>
    <t>SHREE YAMUNA PRINTS</t>
  </si>
  <si>
    <t>SHREE YAMUNA PRINTS- MACHINE</t>
  </si>
  <si>
    <t>SHREEJI CREATION</t>
  </si>
  <si>
    <t>SHREEJI PRINTS PVT LTD</t>
  </si>
  <si>
    <t>SHREEJI PRINTS PVT LTD-MACHINE</t>
  </si>
  <si>
    <t>SHREEJI TECHNOLOGY- SALE</t>
  </si>
  <si>
    <t>SHREENATH EMBROIDERY</t>
  </si>
  <si>
    <t>SHREENATH PRINT</t>
  </si>
  <si>
    <t>SHREENATHJEE TREADS</t>
  </si>
  <si>
    <t>SHREYA  ENTERPRISES - KOLKATA</t>
  </si>
  <si>
    <t>SHREYA ENTERPRISE- KOLKATA</t>
  </si>
  <si>
    <t>SHREYA ENTERPRISES</t>
  </si>
  <si>
    <t>SHREYA ENTERPRISES (S)</t>
  </si>
  <si>
    <t>SHRI ANNAMALAIYAR AGENCIES</t>
  </si>
  <si>
    <t>SHRI ANNAMALAIYAR AGENCIES-MACHINE</t>
  </si>
  <si>
    <t>SHRI BALAJI PROCESSORS</t>
  </si>
  <si>
    <t>SHRI BALAJI PROCESSORS-MACHINE</t>
  </si>
  <si>
    <t>SHRI GANGARAM GARMENT</t>
  </si>
  <si>
    <t>SHRI GANGARAM GARMENT-MACHINE</t>
  </si>
  <si>
    <t>SHRI NANTIN TEXTILE</t>
  </si>
  <si>
    <t>SHRI SAI KRUPA CREATIONS PRIVATE LIMITED</t>
  </si>
  <si>
    <t>SHRI SHIV SAI DIGITAL PRINTS</t>
  </si>
  <si>
    <t>SHRIJEE LIFESTYLE PVT. LTD.</t>
  </si>
  <si>
    <t>SHRIMMI  CREATIVE  PRINTS- MACHINE</t>
  </si>
  <si>
    <t>SHRIMMI CREATIVE PRINTS</t>
  </si>
  <si>
    <t>SHRIRAM MEHAR POLYMERS P.LTD</t>
  </si>
  <si>
    <t>SHRUTI FASHIONS PVT. LTD.</t>
  </si>
  <si>
    <t>SHRUTI FASHIONS PVT. LTD. - MACHINE</t>
  </si>
  <si>
    <t>SHUBHAM SYNTHETICS</t>
  </si>
  <si>
    <t>SHUBHANANDA TEXTILE MILLS PVT LTD</t>
  </si>
  <si>
    <t>SHUBHANANDA TEXTILE MILLS PVT LTD - MACHINE</t>
  </si>
  <si>
    <t>SHUKAN DIGITAL</t>
  </si>
  <si>
    <t>SHUKAN DIGITAL - MACHINE</t>
  </si>
  <si>
    <t>SHUKRANA ENTERPRISES</t>
  </si>
  <si>
    <t>SHYAM DIGITEX</t>
  </si>
  <si>
    <t>SHYAMA PRINT</t>
  </si>
  <si>
    <t>SIDDHARTH EMBROIDERY</t>
  </si>
  <si>
    <t>SIDDHESHWARI DIGITAL</t>
  </si>
  <si>
    <t>SIDDHESHWARI PRINTS PVT LTD</t>
  </si>
  <si>
    <t>SIDDHI IMPEX</t>
  </si>
  <si>
    <t>SIDDHIVINAYAK TEXART PRIVATE LIMITED</t>
  </si>
  <si>
    <t>SIDDHIVINAYAK TEXART PRIVATE LIMITED-MACHINE</t>
  </si>
  <si>
    <t>SIDDHIVINAYAK TEXSPIN PRIVATE LIMITED</t>
  </si>
  <si>
    <t>SIDDHIVINAYAK TEXTRENDS PRIVATE LIMITED</t>
  </si>
  <si>
    <t>SIDDHIVINAYAK WEAVETECH</t>
  </si>
  <si>
    <t>SIDDHIVINAYAK WEAVETECH-MACHINE</t>
  </si>
  <si>
    <t>SILK APPEAL</t>
  </si>
  <si>
    <t>SILVERTONES SPECIALITY TEXTILE PVT LTD</t>
  </si>
  <si>
    <t>SILVERTONES SPECIALITY TEXTILE PVT LTD-MACHINE</t>
  </si>
  <si>
    <t>SIMRAN FAB</t>
  </si>
  <si>
    <t>SINO STAR ENTERPRISE</t>
  </si>
  <si>
    <t>SINO STAR ENTERPRISE MC 2 &amp; 3</t>
  </si>
  <si>
    <t>SINO STAR ENTERPRISE-MACHINE</t>
  </si>
  <si>
    <t>SITARAM DIGITAL PRINTS PRIVATE LIMITED</t>
  </si>
  <si>
    <t>SIYARAM DIGITAL</t>
  </si>
  <si>
    <t>SIYARAM DIGITAL MACHINE</t>
  </si>
  <si>
    <t>SIYARAM DIGITAL PRINT</t>
  </si>
  <si>
    <t>SIYARAM DIGITAL-KHATODRA</t>
  </si>
  <si>
    <t>10 Days</t>
  </si>
  <si>
    <t>SK OVERSEAS IND PRIVATE LIMITED</t>
  </si>
  <si>
    <t>SK OVERSEAS IND PVT LTD</t>
  </si>
  <si>
    <t>SKYLARK DYEING PRIVATE LIMITED</t>
  </si>
  <si>
    <t>SMART TECHNICAL SERVICES</t>
  </si>
  <si>
    <t>SNEHA DIGITAL</t>
  </si>
  <si>
    <t>SOHAM CREATION</t>
  </si>
  <si>
    <t>SOLTEX INKS-MACHINE</t>
  </si>
  <si>
    <t>SOURABH</t>
  </si>
  <si>
    <t>SP GARMENTS</t>
  </si>
  <si>
    <t>SP TRADING</t>
  </si>
  <si>
    <t>SPECTRUM CREATION PVT. LTD.</t>
  </si>
  <si>
    <t>SPECTRUM CREATIONS PVT LTD (SALE)</t>
  </si>
  <si>
    <t>SPECTRUM CREATIONS PVT. LTD.</t>
  </si>
  <si>
    <t>SPECTRUM DIGITAL</t>
  </si>
  <si>
    <t>SPECTRUM DIGITAL Machine</t>
  </si>
  <si>
    <t>SPECTRUM DIGITEX LLP</t>
  </si>
  <si>
    <t>SR ENTERPRISES</t>
  </si>
  <si>
    <t>SREE KANAGA DURGAA TEXTILE</t>
  </si>
  <si>
    <t>SREE KUMARAN TEXTILE P - MACHINE</t>
  </si>
  <si>
    <t>SRI AMMAN DIGITAL PRINT</t>
  </si>
  <si>
    <t>SRI AMMAN DIGITAL PRINTS</t>
  </si>
  <si>
    <t>SRI AMMAN DIGITAL PRINTS-MACHINE</t>
  </si>
  <si>
    <t>SRI VENKATESHWARA INDUSTRIES</t>
  </si>
  <si>
    <t>SSV TEXFAB LLP</t>
  </si>
  <si>
    <t>SSV TEXFAB LLP(OLD)</t>
  </si>
  <si>
    <t>SSV TEXFAB LLP-MACHINE(OLD)</t>
  </si>
  <si>
    <t>STALLION PRINT</t>
  </si>
  <si>
    <t>STAR VINTAGE HOME TEXTILES</t>
  </si>
  <si>
    <t>SUBAM  TEX ART</t>
  </si>
  <si>
    <t>SUCHITRA DYEING AND PRINTING MILLS PVT LTD</t>
  </si>
  <si>
    <t>SUHASI TRADING</t>
  </si>
  <si>
    <t>SUN CREATION</t>
  </si>
  <si>
    <t>SUNNY DRAPE</t>
  </si>
  <si>
    <t>SUNNY DRAPE-MACHINE</t>
  </si>
  <si>
    <t>SURAT DIGITAL PRINT PVT LTD</t>
  </si>
  <si>
    <t>SURAT DIGITAL PRINT PVT LTD-MACHINE</t>
  </si>
  <si>
    <t>SURESH KUMAR - GRIHALAXMI TRADING</t>
  </si>
  <si>
    <t>SURYA SYNTHETICS</t>
  </si>
  <si>
    <t>SURYA TEX PRINTS PRIVATE LIMITED</t>
  </si>
  <si>
    <t>SURYA TEX PRINTS PRIVATE LIMITED-MACHINE</t>
  </si>
  <si>
    <t>SURYAVANSHI SYNTHETICS</t>
  </si>
  <si>
    <t>SUSHILABEN HASMUKHBHAI PATEL</t>
  </si>
  <si>
    <t>SUSPENSE A/C</t>
  </si>
  <si>
    <t>SWAGAT PRINT</t>
  </si>
  <si>
    <t>SWASTIK ARTS</t>
  </si>
  <si>
    <t>SWASTIK DIGITAL</t>
  </si>
  <si>
    <t>SWASTIK DIGITAL-MACHINE</t>
  </si>
  <si>
    <t>SWASTIK DYE CHEM</t>
  </si>
  <si>
    <t>SWASTIK POLYPRINTS P LTD</t>
  </si>
  <si>
    <t>SWASTIK VALUE ADDITION PVT LTD</t>
  </si>
  <si>
    <t>SWASTIK VALUE ADDITION PVT LTD-MACHINE</t>
  </si>
  <si>
    <t>SWATI SYNTHETICS</t>
  </si>
  <si>
    <t>SYAAN DIGITAL</t>
  </si>
  <si>
    <t>SYMPHONY PRINTS PVT. LTD.</t>
  </si>
  <si>
    <t>SYMPLICO PRINTS PVT LTD</t>
  </si>
  <si>
    <t>T C KRUPA FABRICS</t>
  </si>
  <si>
    <t>TARA SYNTHETIC</t>
  </si>
  <si>
    <t>TARANG FASHION</t>
  </si>
  <si>
    <t>TC  DIGITAL  HUB  LLP</t>
  </si>
  <si>
    <t>TC  DIGITAL  HUB  LLP - MACHINE</t>
  </si>
  <si>
    <t>TEEJAY PRINTS PVT LTD</t>
  </si>
  <si>
    <t>TERRANOVA PACKTECH PRIVATE LIMITED</t>
  </si>
  <si>
    <t>TEX INDIA ENTERPRISES (P) LTD.</t>
  </si>
  <si>
    <t>THE DESIGN LIBRARY</t>
  </si>
  <si>
    <t>THE FESTON</t>
  </si>
  <si>
    <t>THE FESTON(MACHINE)</t>
  </si>
  <si>
    <t>THE PRINTINK CO</t>
  </si>
  <si>
    <t>THE SURAT INTERNATIONAL TEXTILE  EXPO (SITEX)</t>
  </si>
  <si>
    <t>TMK DIGITAL</t>
  </si>
  <si>
    <t>TMK DIGITAL-MACHINE</t>
  </si>
  <si>
    <t>TOYO PRINTS PRIVATE LIMITED</t>
  </si>
  <si>
    <t>TOYO PRINTS PRIVATE LIMITED- MACHINE</t>
  </si>
  <si>
    <t>TREQUARTISTA TECHNOLOGIES PRIVATE LIMITED</t>
  </si>
  <si>
    <t>TRILOCHAN GRAPHICS</t>
  </si>
  <si>
    <t>TRISHIKA TECHNOLOGIES (I) PRIVATE LIMITED</t>
  </si>
  <si>
    <t>TRISHUL PROCESSORS PVT LTD</t>
  </si>
  <si>
    <t>TRISHUL PROCESSORS PVT LTD MACHINE</t>
  </si>
  <si>
    <t>TRUE COLORS HOUSE</t>
  </si>
  <si>
    <t>TRUE COLORS PVT LTD</t>
  </si>
  <si>
    <t>TTELLY ENTERPRISE</t>
  </si>
  <si>
    <t>TULSI FASHIONS</t>
  </si>
  <si>
    <t>TWINE SOLUTIONS LTD.</t>
  </si>
  <si>
    <t>U M EXPORT</t>
  </si>
  <si>
    <t>U ONE</t>
  </si>
  <si>
    <t>UDAY DYEING AND VALUE ADDED PRINTING MILLS</t>
  </si>
  <si>
    <t>UDGAM KRISHAN PROJECTS PVT. LTD.</t>
  </si>
  <si>
    <t>UMA CREATION</t>
  </si>
  <si>
    <t>UMA CREATION(MACHINE)</t>
  </si>
  <si>
    <t>UMA FABRICS</t>
  </si>
  <si>
    <t>UMESH</t>
  </si>
  <si>
    <t>UNITED PRINTS</t>
  </si>
  <si>
    <t>UNIVERSAL DYECHEM PVT LTD</t>
  </si>
  <si>
    <t>UNIVERSAL ENTERPRISES</t>
  </si>
  <si>
    <t>V C CORPORATION</t>
  </si>
  <si>
    <t>V D ENTERPRISE</t>
  </si>
  <si>
    <t>V.I.P. LOUNGE</t>
  </si>
  <si>
    <t>VAAMAA CREATIONS</t>
  </si>
  <si>
    <t>VAIBHAV ENTERPRISES</t>
  </si>
  <si>
    <t>VAIBHAV ENTERPRISES MACHINE</t>
  </si>
  <si>
    <t>VAISHALI SILK MILLS PVT LTD</t>
  </si>
  <si>
    <t>VALUE ADDED FASHION FABRICS PVT LTD</t>
  </si>
  <si>
    <t>VANDANA PRADEEP KHANDELWAL</t>
  </si>
  <si>
    <t>VAP CHEM</t>
  </si>
  <si>
    <t>VARDHMAN CREATIONS</t>
  </si>
  <si>
    <t>VARDHMAN CREATIONS (P) LTD.</t>
  </si>
  <si>
    <t>VARSA TEXTILES</t>
  </si>
  <si>
    <t>VARUNIKA PRINTS PRIVATE LIMITED</t>
  </si>
  <si>
    <t>VARUNIKA PRINTS PRIVATE LIMITED-MACHINE</t>
  </si>
  <si>
    <t>VASTA LIFESTYLE PVT LTD</t>
  </si>
  <si>
    <t>VASTA LIFESTYLE PVT LTD MACHINE</t>
  </si>
  <si>
    <t>VASUDEV CREATION PVT LTD</t>
  </si>
  <si>
    <t>VASUMAY CREATION PRIVATE LIMITED</t>
  </si>
  <si>
    <t>VEDANT CREATION</t>
  </si>
  <si>
    <t>VEDANT ENTERPRISE</t>
  </si>
  <si>
    <t>VEE KAY ENTERPRISES</t>
  </si>
  <si>
    <t>VEEKAY PRINTS PVT.LTD.</t>
  </si>
  <si>
    <t>VEEKAY PRINTS PVT.LTD.(MACHINE)</t>
  </si>
  <si>
    <t>VEER HOSIERY PRODUCTS</t>
  </si>
  <si>
    <t>VENTURA CREATIONS</t>
  </si>
  <si>
    <t>VENTURA CREATIONS-MACHINE</t>
  </si>
  <si>
    <t>VENUS MILLS PVT LTD</t>
  </si>
  <si>
    <t>VERONICA DIGITAL</t>
  </si>
  <si>
    <t>VERONICA DIGITAL-MACHINE</t>
  </si>
  <si>
    <t>VIDAN FASHION</t>
  </si>
  <si>
    <t>VIDHI CREATION</t>
  </si>
  <si>
    <t>VIDHYA DIGITAL PRINT</t>
  </si>
  <si>
    <t>VIJAYLAXMI DIGITAL PRINTS</t>
  </si>
  <si>
    <t>VIJAYLAXMI DIGITAL PRINTS -MACHINE</t>
  </si>
  <si>
    <t>VIKRAM TRADING COMPANY</t>
  </si>
  <si>
    <t>VIKRAM TRADING COMPANY (SURAT BRANCH)</t>
  </si>
  <si>
    <t>VINESH SILK MILLS PRIVATE LIMITED MACHINE</t>
  </si>
  <si>
    <t>VINIT YARN DYEING PVT. LTD.</t>
  </si>
  <si>
    <t>VINNY OVERSEAS LIMITED</t>
  </si>
  <si>
    <t>VINNY OVERSEAS LIMITED-MACHINE</t>
  </si>
  <si>
    <t>VIRAJ ENTERPRISES</t>
  </si>
  <si>
    <t>VIRAJ FAB P.LTD.</t>
  </si>
  <si>
    <t>VIRAJ PRINTS</t>
  </si>
  <si>
    <t>VIRU ENTERPRISE</t>
  </si>
  <si>
    <t>VISHAL BOX CO.PVT LTD</t>
  </si>
  <si>
    <t>VISHAL KUMAR AGARWAL</t>
  </si>
  <si>
    <t>VISHAL LABHUBHAI</t>
  </si>
  <si>
    <t>VISHNU HARI DIGITAL CREATION</t>
  </si>
  <si>
    <t>VISHNU HARI DIGITAL CREATION-MACHINE</t>
  </si>
  <si>
    <t>VISHWA CREATION</t>
  </si>
  <si>
    <t>VISHWESH KNITTING AND DYEING MILLS PVT LTD</t>
  </si>
  <si>
    <t>VISHWESH KNITTING AND DYEING MILLS PVT LTD-MACHINE</t>
  </si>
  <si>
    <t>VISION TECHNOLOGIES</t>
  </si>
  <si>
    <t>VISTA INTERNATIONAL</t>
  </si>
  <si>
    <t>VISWANATH ENTERPRISES</t>
  </si>
  <si>
    <t>VIVAA DIGITAL MILL</t>
  </si>
  <si>
    <t>VIVID DIGITEX PVT LTD</t>
  </si>
  <si>
    <t>VLS PRINTS</t>
  </si>
  <si>
    <t>VLS PRINTS - MACHINE</t>
  </si>
  <si>
    <t>VORA EXPORTS</t>
  </si>
  <si>
    <t>VREYAAN PROCESSORS PRIVATE LIMITED</t>
  </si>
  <si>
    <t>VS INDUSTRIES</t>
  </si>
  <si>
    <t>W S INDIA</t>
  </si>
  <si>
    <t>WESTEND ENTERPRISES PVT. LTD.</t>
  </si>
  <si>
    <t>WINTRY ENGINEERING &amp; CHEMICALS PVT LTD</t>
  </si>
  <si>
    <t>YASH CREATION</t>
  </si>
  <si>
    <t>YASH CREATION(MACHINE)</t>
  </si>
  <si>
    <t>YASH MEHTA( D SKY)</t>
  </si>
  <si>
    <t>YASH PRINTS PVT. LTD.</t>
  </si>
  <si>
    <t>YASH PRINTS PVT. LTD.- MACHINE</t>
  </si>
  <si>
    <t>YES DYEING &amp; PRINTING PRIVATE LIMITED</t>
  </si>
  <si>
    <t>YUKTA DIGITAL PRINT</t>
  </si>
  <si>
    <t>ZAARA'S</t>
  </si>
  <si>
    <t>ZAARA'S-MACHINE</t>
  </si>
  <si>
    <t>ZEHAAN TRENDZ</t>
  </si>
  <si>
    <t>Outstanding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</si>
</sst>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 * #,##0.00_ ;_ * \-#,##0.00_ ;_ * &quot;-&quot;??_ ;_ @_ 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1" fillId="2" fontId="2" numFmtId="0" xfId="0" applyAlignment="1" applyBorder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5" t="s">
        <v>7</v>
      </c>
      <c r="B2" s="5" t="s">
        <v>8</v>
      </c>
      <c r="C2" s="2" t="s">
        <v>9</v>
      </c>
      <c r="D2" s="2" t="s">
        <v>10</v>
      </c>
      <c r="E2" s="2" t="s">
        <v>11</v>
      </c>
      <c r="F2" s="6">
        <v>800000.0</v>
      </c>
      <c r="G2" s="7">
        <v>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5" t="s">
        <v>12</v>
      </c>
      <c r="B3" s="5" t="s">
        <v>8</v>
      </c>
      <c r="C3" s="2" t="s">
        <v>9</v>
      </c>
      <c r="D3" s="2" t="s">
        <v>10</v>
      </c>
      <c r="E3" s="2" t="s">
        <v>11</v>
      </c>
      <c r="F3" s="6">
        <v>800000.0</v>
      </c>
      <c r="G3" s="7">
        <v>86376.0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5" t="s">
        <v>12</v>
      </c>
      <c r="B4" s="5" t="s">
        <v>13</v>
      </c>
      <c r="C4" s="2" t="s">
        <v>9</v>
      </c>
      <c r="D4" s="2" t="s">
        <v>10</v>
      </c>
      <c r="E4" s="2" t="s">
        <v>14</v>
      </c>
      <c r="F4" s="6">
        <v>0.0</v>
      </c>
      <c r="G4" s="7">
        <v>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5" t="s">
        <v>7</v>
      </c>
      <c r="B5" s="5" t="s">
        <v>13</v>
      </c>
      <c r="C5" s="2" t="s">
        <v>15</v>
      </c>
      <c r="D5" s="2" t="s">
        <v>16</v>
      </c>
      <c r="E5" s="2" t="s">
        <v>17</v>
      </c>
      <c r="F5" s="6">
        <v>0.0</v>
      </c>
      <c r="G5" s="7">
        <v>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5" t="s">
        <v>12</v>
      </c>
      <c r="B6" s="5" t="s">
        <v>13</v>
      </c>
      <c r="C6" s="2" t="s">
        <v>15</v>
      </c>
      <c r="D6" s="2" t="s">
        <v>16</v>
      </c>
      <c r="E6" s="2" t="s">
        <v>14</v>
      </c>
      <c r="F6" s="6">
        <v>0.0</v>
      </c>
      <c r="G6" s="7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5" t="s">
        <v>12</v>
      </c>
      <c r="B7" s="5" t="s">
        <v>13</v>
      </c>
      <c r="C7" s="2" t="s">
        <v>18</v>
      </c>
      <c r="D7" s="2" t="s">
        <v>19</v>
      </c>
      <c r="E7" s="2" t="s">
        <v>11</v>
      </c>
      <c r="F7" s="6">
        <v>350000.0</v>
      </c>
      <c r="G7" s="7">
        <v>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5" t="s">
        <v>12</v>
      </c>
      <c r="B8" s="5" t="s">
        <v>13</v>
      </c>
      <c r="C8" s="2" t="s">
        <v>20</v>
      </c>
      <c r="D8" s="2" t="s">
        <v>10</v>
      </c>
      <c r="E8" s="2" t="s">
        <v>14</v>
      </c>
      <c r="F8" s="6">
        <v>0.0</v>
      </c>
      <c r="G8" s="7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5" t="s">
        <v>7</v>
      </c>
      <c r="B9" s="5" t="s">
        <v>8</v>
      </c>
      <c r="C9" s="2" t="s">
        <v>21</v>
      </c>
      <c r="D9" s="2" t="s">
        <v>16</v>
      </c>
      <c r="E9" s="2" t="s">
        <v>14</v>
      </c>
      <c r="F9" s="6">
        <v>0.0</v>
      </c>
      <c r="G9" s="7">
        <v>0.0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5" t="s">
        <v>12</v>
      </c>
      <c r="B10" s="5" t="s">
        <v>13</v>
      </c>
      <c r="C10" s="2" t="s">
        <v>21</v>
      </c>
      <c r="D10" s="2" t="s">
        <v>16</v>
      </c>
      <c r="E10" s="2" t="s">
        <v>14</v>
      </c>
      <c r="F10" s="6">
        <v>0.0</v>
      </c>
      <c r="G10" s="7">
        <v>-500000.0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5" t="s">
        <v>12</v>
      </c>
      <c r="B11" s="5" t="s">
        <v>8</v>
      </c>
      <c r="C11" s="2" t="s">
        <v>21</v>
      </c>
      <c r="D11" s="2" t="s">
        <v>16</v>
      </c>
      <c r="E11" s="2" t="s">
        <v>14</v>
      </c>
      <c r="F11" s="6">
        <v>0.0</v>
      </c>
      <c r="G11" s="7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5" t="s">
        <v>7</v>
      </c>
      <c r="B12" s="5" t="s">
        <v>13</v>
      </c>
      <c r="C12" s="2" t="s">
        <v>22</v>
      </c>
      <c r="D12" s="2" t="s">
        <v>19</v>
      </c>
      <c r="E12" s="2" t="s">
        <v>23</v>
      </c>
      <c r="F12" s="6">
        <v>50000.0</v>
      </c>
      <c r="G12" s="7">
        <v>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5" t="s">
        <v>12</v>
      </c>
      <c r="B13" s="5" t="s">
        <v>13</v>
      </c>
      <c r="C13" s="2" t="s">
        <v>22</v>
      </c>
      <c r="D13" s="2" t="s">
        <v>19</v>
      </c>
      <c r="E13" s="2" t="s">
        <v>17</v>
      </c>
      <c r="F13" s="6">
        <v>500000.0</v>
      </c>
      <c r="G13" s="7">
        <v>515011.0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5" t="s">
        <v>12</v>
      </c>
      <c r="B14" s="5" t="s">
        <v>13</v>
      </c>
      <c r="C14" s="2" t="s">
        <v>24</v>
      </c>
      <c r="D14" s="2" t="s">
        <v>19</v>
      </c>
      <c r="E14" s="2" t="s">
        <v>14</v>
      </c>
      <c r="F14" s="6">
        <v>0.0</v>
      </c>
      <c r="G14" s="7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5" t="s">
        <v>12</v>
      </c>
      <c r="B15" s="5" t="s">
        <v>13</v>
      </c>
      <c r="C15" s="2" t="s">
        <v>25</v>
      </c>
      <c r="D15" s="2" t="s">
        <v>26</v>
      </c>
      <c r="E15" s="2" t="s">
        <v>27</v>
      </c>
      <c r="F15" s="6">
        <v>1500000.0</v>
      </c>
      <c r="G15" s="7">
        <v>1047132.0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5" t="s">
        <v>12</v>
      </c>
      <c r="B16" s="5" t="s">
        <v>13</v>
      </c>
      <c r="C16" s="2" t="s">
        <v>28</v>
      </c>
      <c r="D16" s="2" t="s">
        <v>26</v>
      </c>
      <c r="E16" s="2" t="s">
        <v>14</v>
      </c>
      <c r="F16" s="6">
        <v>0.0</v>
      </c>
      <c r="G16" s="7">
        <v>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5" t="s">
        <v>12</v>
      </c>
      <c r="B17" s="5" t="s">
        <v>13</v>
      </c>
      <c r="C17" s="2" t="s">
        <v>29</v>
      </c>
      <c r="D17" s="2" t="s">
        <v>16</v>
      </c>
      <c r="E17" s="2" t="s">
        <v>14</v>
      </c>
      <c r="F17" s="6">
        <v>0.0</v>
      </c>
      <c r="G17" s="7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5" t="s">
        <v>12</v>
      </c>
      <c r="B18" s="5" t="s">
        <v>13</v>
      </c>
      <c r="C18" s="2" t="s">
        <v>30</v>
      </c>
      <c r="D18" s="2" t="s">
        <v>16</v>
      </c>
      <c r="E18" s="2" t="s">
        <v>11</v>
      </c>
      <c r="F18" s="6">
        <v>950000.0</v>
      </c>
      <c r="G18" s="7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5" t="s">
        <v>7</v>
      </c>
      <c r="B19" s="5" t="s">
        <v>13</v>
      </c>
      <c r="C19" s="2" t="s">
        <v>31</v>
      </c>
      <c r="D19" s="2" t="s">
        <v>32</v>
      </c>
      <c r="E19" s="2" t="s">
        <v>33</v>
      </c>
      <c r="F19" s="6">
        <v>2500000.0</v>
      </c>
      <c r="G19" s="7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5" t="s">
        <v>12</v>
      </c>
      <c r="B20" s="5" t="s">
        <v>13</v>
      </c>
      <c r="C20" s="2" t="s">
        <v>31</v>
      </c>
      <c r="D20" s="2" t="s">
        <v>32</v>
      </c>
      <c r="E20" s="2" t="s">
        <v>17</v>
      </c>
      <c r="F20" s="6">
        <v>7200000.0</v>
      </c>
      <c r="G20" s="7">
        <v>1041254.0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5" t="s">
        <v>12</v>
      </c>
      <c r="B21" s="5" t="s">
        <v>13</v>
      </c>
      <c r="C21" s="2" t="s">
        <v>34</v>
      </c>
      <c r="D21" s="2" t="s">
        <v>32</v>
      </c>
      <c r="E21" s="2" t="s">
        <v>14</v>
      </c>
      <c r="F21" s="6">
        <v>0.0</v>
      </c>
      <c r="G21" s="7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5" t="s">
        <v>12</v>
      </c>
      <c r="B22" s="5" t="s">
        <v>13</v>
      </c>
      <c r="C22" s="2" t="s">
        <v>35</v>
      </c>
      <c r="D22" s="2" t="s">
        <v>16</v>
      </c>
      <c r="E22" s="2" t="s">
        <v>11</v>
      </c>
      <c r="F22" s="6">
        <v>400000.0</v>
      </c>
      <c r="G22" s="7">
        <v>0.0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5" t="s">
        <v>12</v>
      </c>
      <c r="B23" s="5" t="s">
        <v>8</v>
      </c>
      <c r="C23" s="2" t="s">
        <v>36</v>
      </c>
      <c r="D23" s="2" t="s">
        <v>16</v>
      </c>
      <c r="E23" s="2" t="s">
        <v>14</v>
      </c>
      <c r="F23" s="6">
        <v>0.0</v>
      </c>
      <c r="G23" s="7">
        <v>0.0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5" t="s">
        <v>12</v>
      </c>
      <c r="B24" s="5" t="s">
        <v>13</v>
      </c>
      <c r="C24" s="2" t="s">
        <v>37</v>
      </c>
      <c r="D24" s="2" t="s">
        <v>16</v>
      </c>
      <c r="E24" s="2" t="s">
        <v>14</v>
      </c>
      <c r="F24" s="6">
        <v>0.0</v>
      </c>
      <c r="G24" s="7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5" t="s">
        <v>12</v>
      </c>
      <c r="B25" s="5" t="s">
        <v>13</v>
      </c>
      <c r="C25" s="2" t="s">
        <v>38</v>
      </c>
      <c r="D25" s="2" t="s">
        <v>16</v>
      </c>
      <c r="E25" s="2" t="s">
        <v>14</v>
      </c>
      <c r="F25" s="6">
        <v>0.0</v>
      </c>
      <c r="G25" s="7">
        <v>0.0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5" t="s">
        <v>12</v>
      </c>
      <c r="B26" s="5" t="s">
        <v>13</v>
      </c>
      <c r="C26" s="2" t="s">
        <v>39</v>
      </c>
      <c r="D26" s="2" t="s">
        <v>16</v>
      </c>
      <c r="E26" s="2" t="s">
        <v>14</v>
      </c>
      <c r="F26" s="6">
        <v>0.0</v>
      </c>
      <c r="G26" s="7">
        <v>300000.0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5" t="s">
        <v>12</v>
      </c>
      <c r="B27" s="5" t="s">
        <v>13</v>
      </c>
      <c r="C27" s="2" t="s">
        <v>40</v>
      </c>
      <c r="D27" s="2" t="s">
        <v>16</v>
      </c>
      <c r="E27" s="2" t="s">
        <v>14</v>
      </c>
      <c r="F27" s="6">
        <v>0.0</v>
      </c>
      <c r="G27" s="7">
        <v>2534400.0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5" t="s">
        <v>12</v>
      </c>
      <c r="B28" s="5" t="s">
        <v>13</v>
      </c>
      <c r="C28" s="2" t="s">
        <v>41</v>
      </c>
      <c r="D28" s="2" t="s">
        <v>16</v>
      </c>
      <c r="E28" s="2" t="s">
        <v>14</v>
      </c>
      <c r="F28" s="6">
        <v>0.0</v>
      </c>
      <c r="G28" s="7">
        <v>0.0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5" t="s">
        <v>7</v>
      </c>
      <c r="B29" s="5" t="s">
        <v>13</v>
      </c>
      <c r="C29" s="2" t="s">
        <v>42</v>
      </c>
      <c r="D29" s="2" t="s">
        <v>32</v>
      </c>
      <c r="E29" s="2" t="s">
        <v>17</v>
      </c>
      <c r="F29" s="6">
        <v>100000.0</v>
      </c>
      <c r="G29" s="7">
        <v>0.0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5" t="s">
        <v>12</v>
      </c>
      <c r="B30" s="5" t="s">
        <v>13</v>
      </c>
      <c r="C30" s="2" t="s">
        <v>42</v>
      </c>
      <c r="D30" s="2" t="s">
        <v>32</v>
      </c>
      <c r="E30" s="2" t="s">
        <v>17</v>
      </c>
      <c r="F30" s="6">
        <v>4000000.0</v>
      </c>
      <c r="G30" s="7">
        <v>2502447.0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5" t="s">
        <v>12</v>
      </c>
      <c r="B31" s="5" t="s">
        <v>13</v>
      </c>
      <c r="C31" s="2" t="s">
        <v>43</v>
      </c>
      <c r="D31" s="2" t="s">
        <v>16</v>
      </c>
      <c r="E31" s="2" t="s">
        <v>14</v>
      </c>
      <c r="F31" s="6">
        <v>0.0</v>
      </c>
      <c r="G31" s="7">
        <v>-1956.0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5" t="s">
        <v>12</v>
      </c>
      <c r="B32" s="5" t="s">
        <v>13</v>
      </c>
      <c r="C32" s="2" t="s">
        <v>44</v>
      </c>
      <c r="D32" s="2" t="s">
        <v>16</v>
      </c>
      <c r="E32" s="2" t="s">
        <v>14</v>
      </c>
      <c r="F32" s="6">
        <v>0.0</v>
      </c>
      <c r="G32" s="7">
        <v>0.0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5" t="s">
        <v>12</v>
      </c>
      <c r="B33" s="5" t="s">
        <v>13</v>
      </c>
      <c r="C33" s="2" t="s">
        <v>45</v>
      </c>
      <c r="D33" s="2" t="s">
        <v>16</v>
      </c>
      <c r="E33" s="2" t="s">
        <v>14</v>
      </c>
      <c r="F33" s="6">
        <v>0.0</v>
      </c>
      <c r="G33" s="7">
        <v>0.0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5" t="s">
        <v>12</v>
      </c>
      <c r="B34" s="5" t="s">
        <v>13</v>
      </c>
      <c r="C34" s="2" t="s">
        <v>46</v>
      </c>
      <c r="D34" s="2" t="s">
        <v>16</v>
      </c>
      <c r="E34" s="2" t="s">
        <v>14</v>
      </c>
      <c r="F34" s="6">
        <v>0.0</v>
      </c>
      <c r="G34" s="7">
        <v>0.0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5" t="s">
        <v>12</v>
      </c>
      <c r="B35" s="5" t="s">
        <v>13</v>
      </c>
      <c r="C35" s="2" t="s">
        <v>47</v>
      </c>
      <c r="D35" s="2" t="s">
        <v>48</v>
      </c>
      <c r="E35" s="2" t="s">
        <v>49</v>
      </c>
      <c r="F35" s="6">
        <v>600000.0</v>
      </c>
      <c r="G35" s="7">
        <v>25025.0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5" t="s">
        <v>12</v>
      </c>
      <c r="B36" s="5" t="s">
        <v>8</v>
      </c>
      <c r="C36" s="2" t="s">
        <v>47</v>
      </c>
      <c r="D36" s="2" t="s">
        <v>48</v>
      </c>
      <c r="E36" s="2" t="s">
        <v>49</v>
      </c>
      <c r="F36" s="6">
        <v>1241782.0</v>
      </c>
      <c r="G36" s="7">
        <v>186735.0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5" t="s">
        <v>7</v>
      </c>
      <c r="B37" s="5" t="s">
        <v>13</v>
      </c>
      <c r="C37" s="2" t="s">
        <v>50</v>
      </c>
      <c r="D37" s="2" t="s">
        <v>26</v>
      </c>
      <c r="E37" s="2" t="s">
        <v>14</v>
      </c>
      <c r="F37" s="6">
        <v>300000.0</v>
      </c>
      <c r="G37" s="7">
        <v>0.0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5" t="s">
        <v>12</v>
      </c>
      <c r="B38" s="5" t="s">
        <v>13</v>
      </c>
      <c r="C38" s="2" t="s">
        <v>51</v>
      </c>
      <c r="D38" s="2" t="s">
        <v>26</v>
      </c>
      <c r="E38" s="2" t="s">
        <v>14</v>
      </c>
      <c r="F38" s="6">
        <v>0.0</v>
      </c>
      <c r="G38" s="7">
        <v>0.0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5" t="s">
        <v>12</v>
      </c>
      <c r="B39" s="5" t="s">
        <v>13</v>
      </c>
      <c r="C39" s="2" t="s">
        <v>52</v>
      </c>
      <c r="D39" s="2" t="s">
        <v>26</v>
      </c>
      <c r="E39" s="2" t="s">
        <v>14</v>
      </c>
      <c r="F39" s="6">
        <v>650000.0</v>
      </c>
      <c r="G39" s="7">
        <v>0.0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5" t="s">
        <v>12</v>
      </c>
      <c r="B40" s="5" t="s">
        <v>13</v>
      </c>
      <c r="C40" s="2" t="s">
        <v>53</v>
      </c>
      <c r="D40" s="2" t="s">
        <v>16</v>
      </c>
      <c r="E40" s="2" t="s">
        <v>14</v>
      </c>
      <c r="F40" s="6">
        <v>0.0</v>
      </c>
      <c r="G40" s="7">
        <v>0.0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5" t="s">
        <v>12</v>
      </c>
      <c r="B41" s="5" t="s">
        <v>13</v>
      </c>
      <c r="C41" s="2" t="s">
        <v>54</v>
      </c>
      <c r="D41" s="2" t="s">
        <v>16</v>
      </c>
      <c r="E41" s="2" t="s">
        <v>55</v>
      </c>
      <c r="F41" s="6">
        <v>450000.0</v>
      </c>
      <c r="G41" s="7">
        <v>0.0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5" t="s">
        <v>12</v>
      </c>
      <c r="B42" s="5" t="s">
        <v>13</v>
      </c>
      <c r="C42" s="2" t="s">
        <v>56</v>
      </c>
      <c r="D42" s="2" t="s">
        <v>16</v>
      </c>
      <c r="E42" s="2" t="s">
        <v>49</v>
      </c>
      <c r="F42" s="6">
        <v>0.0</v>
      </c>
      <c r="G42" s="7">
        <v>0.0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5" t="s">
        <v>12</v>
      </c>
      <c r="B43" s="5" t="s">
        <v>13</v>
      </c>
      <c r="C43" s="2" t="s">
        <v>57</v>
      </c>
      <c r="D43" s="2" t="s">
        <v>16</v>
      </c>
      <c r="E43" s="2" t="s">
        <v>14</v>
      </c>
      <c r="F43" s="6">
        <v>0.0</v>
      </c>
      <c r="G43" s="7">
        <v>0.0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5" t="s">
        <v>12</v>
      </c>
      <c r="B44" s="5" t="s">
        <v>13</v>
      </c>
      <c r="C44" s="2" t="s">
        <v>58</v>
      </c>
      <c r="D44" s="2" t="s">
        <v>16</v>
      </c>
      <c r="E44" s="2" t="s">
        <v>14</v>
      </c>
      <c r="F44" s="6">
        <v>0.0</v>
      </c>
      <c r="G44" s="7">
        <v>0.0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5" t="s">
        <v>12</v>
      </c>
      <c r="B45" s="5" t="s">
        <v>13</v>
      </c>
      <c r="C45" s="2" t="s">
        <v>59</v>
      </c>
      <c r="D45" s="2" t="s">
        <v>26</v>
      </c>
      <c r="E45" s="2" t="s">
        <v>17</v>
      </c>
      <c r="F45" s="6">
        <v>550000.0</v>
      </c>
      <c r="G45" s="7">
        <v>40710.0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5" t="s">
        <v>12</v>
      </c>
      <c r="B46" s="5" t="s">
        <v>8</v>
      </c>
      <c r="C46" s="2" t="s">
        <v>60</v>
      </c>
      <c r="D46" s="2" t="s">
        <v>10</v>
      </c>
      <c r="E46" s="2" t="s">
        <v>14</v>
      </c>
      <c r="F46" s="6">
        <v>0.0</v>
      </c>
      <c r="G46" s="7">
        <v>0.0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5" t="s">
        <v>12</v>
      </c>
      <c r="B47" s="5" t="s">
        <v>13</v>
      </c>
      <c r="C47" s="2" t="s">
        <v>61</v>
      </c>
      <c r="D47" s="2" t="s">
        <v>16</v>
      </c>
      <c r="E47" s="2" t="s">
        <v>14</v>
      </c>
      <c r="F47" s="6">
        <v>1210000.0</v>
      </c>
      <c r="G47" s="7">
        <v>-510328.0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5" t="s">
        <v>12</v>
      </c>
      <c r="B48" s="5" t="s">
        <v>8</v>
      </c>
      <c r="C48" s="2" t="s">
        <v>61</v>
      </c>
      <c r="D48" s="2" t="s">
        <v>16</v>
      </c>
      <c r="E48" s="2" t="s">
        <v>14</v>
      </c>
      <c r="F48" s="6">
        <v>0.0</v>
      </c>
      <c r="G48" s="7">
        <v>0.0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5" t="s">
        <v>12</v>
      </c>
      <c r="B49" s="5" t="s">
        <v>13</v>
      </c>
      <c r="C49" s="2" t="s">
        <v>62</v>
      </c>
      <c r="D49" s="2" t="s">
        <v>16</v>
      </c>
      <c r="E49" s="2" t="s">
        <v>14</v>
      </c>
      <c r="F49" s="6">
        <v>4000.0</v>
      </c>
      <c r="G49" s="7">
        <v>0.0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5" t="s">
        <v>7</v>
      </c>
      <c r="B50" s="5" t="s">
        <v>8</v>
      </c>
      <c r="C50" s="2" t="s">
        <v>63</v>
      </c>
      <c r="D50" s="2" t="s">
        <v>48</v>
      </c>
      <c r="E50" s="2" t="s">
        <v>14</v>
      </c>
      <c r="F50" s="6">
        <v>0.0</v>
      </c>
      <c r="G50" s="7">
        <v>0.0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5" t="s">
        <v>12</v>
      </c>
      <c r="B51" s="5" t="s">
        <v>8</v>
      </c>
      <c r="C51" s="2" t="s">
        <v>63</v>
      </c>
      <c r="D51" s="2" t="s">
        <v>48</v>
      </c>
      <c r="E51" s="2" t="s">
        <v>11</v>
      </c>
      <c r="F51" s="6">
        <v>1989490.0</v>
      </c>
      <c r="G51" s="7">
        <v>2085525.5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5" t="s">
        <v>12</v>
      </c>
      <c r="B52" s="5" t="s">
        <v>13</v>
      </c>
      <c r="C52" s="2" t="s">
        <v>64</v>
      </c>
      <c r="D52" s="2" t="s">
        <v>48</v>
      </c>
      <c r="E52" s="2" t="s">
        <v>14</v>
      </c>
      <c r="F52" s="6">
        <v>0.0</v>
      </c>
      <c r="G52" s="7">
        <v>0.0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5" t="s">
        <v>12</v>
      </c>
      <c r="B53" s="5" t="s">
        <v>8</v>
      </c>
      <c r="C53" s="2" t="s">
        <v>64</v>
      </c>
      <c r="D53" s="2" t="s">
        <v>48</v>
      </c>
      <c r="E53" s="2" t="s">
        <v>14</v>
      </c>
      <c r="F53" s="6">
        <v>0.0</v>
      </c>
      <c r="G53" s="7">
        <v>2595000.0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5" t="s">
        <v>12</v>
      </c>
      <c r="B54" s="5" t="s">
        <v>8</v>
      </c>
      <c r="C54" s="2" t="s">
        <v>65</v>
      </c>
      <c r="D54" s="2" t="s">
        <v>48</v>
      </c>
      <c r="E54" s="2" t="s">
        <v>11</v>
      </c>
      <c r="F54" s="6">
        <v>0.0</v>
      </c>
      <c r="G54" s="7">
        <v>0.0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5" t="s">
        <v>12</v>
      </c>
      <c r="B55" s="5" t="s">
        <v>13</v>
      </c>
      <c r="C55" s="2" t="s">
        <v>66</v>
      </c>
      <c r="D55" s="2" t="s">
        <v>48</v>
      </c>
      <c r="E55" s="2" t="s">
        <v>14</v>
      </c>
      <c r="F55" s="6">
        <v>0.0</v>
      </c>
      <c r="G55" s="7">
        <v>0.0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5" t="s">
        <v>12</v>
      </c>
      <c r="B56" s="5" t="s">
        <v>13</v>
      </c>
      <c r="C56" s="2" t="s">
        <v>67</v>
      </c>
      <c r="D56" s="2" t="s">
        <v>19</v>
      </c>
      <c r="E56" s="2" t="s">
        <v>14</v>
      </c>
      <c r="F56" s="6">
        <v>0.0</v>
      </c>
      <c r="G56" s="7">
        <v>0.0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5" t="s">
        <v>12</v>
      </c>
      <c r="B57" s="5" t="s">
        <v>13</v>
      </c>
      <c r="C57" s="2" t="s">
        <v>68</v>
      </c>
      <c r="D57" s="2" t="s">
        <v>32</v>
      </c>
      <c r="E57" s="2" t="s">
        <v>49</v>
      </c>
      <c r="F57" s="6">
        <v>900000.0</v>
      </c>
      <c r="G57" s="7">
        <v>0.0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5" t="s">
        <v>12</v>
      </c>
      <c r="B58" s="5" t="s">
        <v>13</v>
      </c>
      <c r="C58" s="2" t="s">
        <v>69</v>
      </c>
      <c r="D58" s="2" t="s">
        <v>16</v>
      </c>
      <c r="E58" s="2" t="s">
        <v>14</v>
      </c>
      <c r="F58" s="6">
        <v>0.0</v>
      </c>
      <c r="G58" s="7">
        <v>0.0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5" t="s">
        <v>12</v>
      </c>
      <c r="B59" s="5" t="s">
        <v>13</v>
      </c>
      <c r="C59" s="2" t="s">
        <v>70</v>
      </c>
      <c r="D59" s="2" t="s">
        <v>16</v>
      </c>
      <c r="E59" s="2" t="s">
        <v>14</v>
      </c>
      <c r="F59" s="6">
        <v>0.0</v>
      </c>
      <c r="G59" s="7">
        <v>0.0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5" t="s">
        <v>7</v>
      </c>
      <c r="B60" s="5" t="s">
        <v>8</v>
      </c>
      <c r="C60" s="2" t="s">
        <v>71</v>
      </c>
      <c r="D60" s="2" t="s">
        <v>10</v>
      </c>
      <c r="E60" s="2" t="s">
        <v>11</v>
      </c>
      <c r="F60" s="6">
        <v>414745.0</v>
      </c>
      <c r="G60" s="7">
        <v>0.0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5" t="s">
        <v>7</v>
      </c>
      <c r="B61" s="5" t="s">
        <v>13</v>
      </c>
      <c r="C61" s="2" t="s">
        <v>71</v>
      </c>
      <c r="D61" s="2" t="s">
        <v>10</v>
      </c>
      <c r="E61" s="2" t="s">
        <v>14</v>
      </c>
      <c r="F61" s="6">
        <v>0.0</v>
      </c>
      <c r="G61" s="7">
        <v>0.0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5" t="s">
        <v>12</v>
      </c>
      <c r="B62" s="5" t="s">
        <v>13</v>
      </c>
      <c r="C62" s="2" t="s">
        <v>71</v>
      </c>
      <c r="D62" s="2" t="s">
        <v>10</v>
      </c>
      <c r="E62" s="2" t="s">
        <v>14</v>
      </c>
      <c r="F62" s="6">
        <v>0.0</v>
      </c>
      <c r="G62" s="7">
        <v>0.0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5" t="s">
        <v>12</v>
      </c>
      <c r="B63" s="5" t="s">
        <v>8</v>
      </c>
      <c r="C63" s="2" t="s">
        <v>71</v>
      </c>
      <c r="D63" s="2" t="s">
        <v>10</v>
      </c>
      <c r="E63" s="2" t="s">
        <v>11</v>
      </c>
      <c r="F63" s="6">
        <v>500000.0</v>
      </c>
      <c r="G63" s="7">
        <v>0.0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5" t="s">
        <v>12</v>
      </c>
      <c r="B64" s="5" t="s">
        <v>13</v>
      </c>
      <c r="C64" s="2" t="s">
        <v>72</v>
      </c>
      <c r="D64" s="2" t="s">
        <v>16</v>
      </c>
      <c r="E64" s="2" t="s">
        <v>14</v>
      </c>
      <c r="F64" s="6">
        <v>0.0</v>
      </c>
      <c r="G64" s="7">
        <v>0.0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5" t="s">
        <v>7</v>
      </c>
      <c r="B65" s="5" t="s">
        <v>13</v>
      </c>
      <c r="C65" s="2" t="s">
        <v>73</v>
      </c>
      <c r="D65" s="2" t="s">
        <v>32</v>
      </c>
      <c r="E65" s="2" t="s">
        <v>74</v>
      </c>
      <c r="F65" s="6">
        <v>300000.0</v>
      </c>
      <c r="G65" s="7">
        <v>0.0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5" t="s">
        <v>12</v>
      </c>
      <c r="B66" s="5" t="s">
        <v>13</v>
      </c>
      <c r="C66" s="2" t="s">
        <v>73</v>
      </c>
      <c r="D66" s="2" t="s">
        <v>32</v>
      </c>
      <c r="E66" s="2" t="s">
        <v>14</v>
      </c>
      <c r="F66" s="6">
        <v>500000.0</v>
      </c>
      <c r="G66" s="7">
        <v>0.0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5" t="s">
        <v>12</v>
      </c>
      <c r="B67" s="5" t="s">
        <v>13</v>
      </c>
      <c r="C67" s="2" t="s">
        <v>75</v>
      </c>
      <c r="D67" s="2" t="s">
        <v>16</v>
      </c>
      <c r="E67" s="2" t="s">
        <v>14</v>
      </c>
      <c r="F67" s="6">
        <v>0.0</v>
      </c>
      <c r="G67" s="7">
        <v>0.0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5" t="s">
        <v>12</v>
      </c>
      <c r="B68" s="5" t="s">
        <v>8</v>
      </c>
      <c r="C68" s="2" t="s">
        <v>76</v>
      </c>
      <c r="D68" s="2" t="s">
        <v>48</v>
      </c>
      <c r="E68" s="2" t="s">
        <v>49</v>
      </c>
      <c r="F68" s="6">
        <v>1807430.0</v>
      </c>
      <c r="G68" s="7">
        <v>222060.0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5" t="s">
        <v>12</v>
      </c>
      <c r="B69" s="5" t="s">
        <v>13</v>
      </c>
      <c r="C69" s="2" t="s">
        <v>77</v>
      </c>
      <c r="D69" s="2" t="s">
        <v>16</v>
      </c>
      <c r="E69" s="2" t="s">
        <v>14</v>
      </c>
      <c r="F69" s="6">
        <v>2005000.0</v>
      </c>
      <c r="G69" s="7">
        <v>0.0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5" t="s">
        <v>12</v>
      </c>
      <c r="B70" s="5" t="s">
        <v>13</v>
      </c>
      <c r="C70" s="2" t="s">
        <v>78</v>
      </c>
      <c r="D70" s="2" t="s">
        <v>16</v>
      </c>
      <c r="E70" s="2" t="s">
        <v>14</v>
      </c>
      <c r="F70" s="6">
        <v>200000.0</v>
      </c>
      <c r="G70" s="7">
        <v>137521.34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5" t="s">
        <v>7</v>
      </c>
      <c r="B71" s="5" t="s">
        <v>13</v>
      </c>
      <c r="C71" s="2" t="s">
        <v>79</v>
      </c>
      <c r="D71" s="2" t="s">
        <v>32</v>
      </c>
      <c r="E71" s="2" t="s">
        <v>80</v>
      </c>
      <c r="F71" s="6">
        <v>300000.0</v>
      </c>
      <c r="G71" s="7">
        <v>0.0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5" t="s">
        <v>12</v>
      </c>
      <c r="B72" s="5" t="s">
        <v>13</v>
      </c>
      <c r="C72" s="2" t="s">
        <v>79</v>
      </c>
      <c r="D72" s="2" t="s">
        <v>32</v>
      </c>
      <c r="E72" s="2" t="s">
        <v>80</v>
      </c>
      <c r="F72" s="6">
        <v>1605000.0</v>
      </c>
      <c r="G72" s="7">
        <v>575510.0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5" t="s">
        <v>12</v>
      </c>
      <c r="B73" s="5" t="s">
        <v>13</v>
      </c>
      <c r="C73" s="2" t="s">
        <v>81</v>
      </c>
      <c r="D73" s="2" t="s">
        <v>16</v>
      </c>
      <c r="E73" s="2" t="s">
        <v>14</v>
      </c>
      <c r="F73" s="6">
        <v>0.0</v>
      </c>
      <c r="G73" s="7">
        <v>0.0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5" t="s">
        <v>12</v>
      </c>
      <c r="B74" s="5" t="s">
        <v>13</v>
      </c>
      <c r="C74" s="2" t="s">
        <v>82</v>
      </c>
      <c r="D74" s="2" t="s">
        <v>83</v>
      </c>
      <c r="E74" s="2" t="s">
        <v>84</v>
      </c>
      <c r="F74" s="6">
        <v>2.0E7</v>
      </c>
      <c r="G74" s="7">
        <v>1.9419409E7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5" t="s">
        <v>12</v>
      </c>
      <c r="B75" s="5" t="s">
        <v>13</v>
      </c>
      <c r="C75" s="2" t="s">
        <v>85</v>
      </c>
      <c r="D75" s="2" t="s">
        <v>83</v>
      </c>
      <c r="E75" s="2" t="s">
        <v>14</v>
      </c>
      <c r="F75" s="6">
        <v>0.0</v>
      </c>
      <c r="G75" s="7">
        <v>0.0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5" t="s">
        <v>12</v>
      </c>
      <c r="B76" s="5" t="s">
        <v>13</v>
      </c>
      <c r="C76" s="2" t="s">
        <v>86</v>
      </c>
      <c r="D76" s="2" t="s">
        <v>16</v>
      </c>
      <c r="E76" s="2" t="s">
        <v>14</v>
      </c>
      <c r="F76" s="6">
        <v>0.0</v>
      </c>
      <c r="G76" s="7">
        <v>0.0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5" t="s">
        <v>7</v>
      </c>
      <c r="B77" s="5" t="s">
        <v>13</v>
      </c>
      <c r="C77" s="2" t="s">
        <v>87</v>
      </c>
      <c r="D77" s="2" t="s">
        <v>88</v>
      </c>
      <c r="E77" s="2" t="s">
        <v>89</v>
      </c>
      <c r="F77" s="6">
        <v>1.0E7</v>
      </c>
      <c r="G77" s="7">
        <v>0.0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5" t="s">
        <v>12</v>
      </c>
      <c r="B78" s="5" t="s">
        <v>13</v>
      </c>
      <c r="C78" s="2" t="s">
        <v>87</v>
      </c>
      <c r="D78" s="2" t="s">
        <v>88</v>
      </c>
      <c r="E78" s="2" t="s">
        <v>55</v>
      </c>
      <c r="F78" s="6">
        <v>1.0E7</v>
      </c>
      <c r="G78" s="7">
        <v>1632087.0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5" t="s">
        <v>12</v>
      </c>
      <c r="B79" s="5" t="s">
        <v>13</v>
      </c>
      <c r="C79" s="2" t="s">
        <v>90</v>
      </c>
      <c r="D79" s="2" t="s">
        <v>88</v>
      </c>
      <c r="E79" s="2" t="s">
        <v>14</v>
      </c>
      <c r="F79" s="6">
        <v>0.0</v>
      </c>
      <c r="G79" s="7">
        <v>0.0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5" t="s">
        <v>12</v>
      </c>
      <c r="B80" s="5" t="s">
        <v>13</v>
      </c>
      <c r="C80" s="2" t="s">
        <v>91</v>
      </c>
      <c r="D80" s="2" t="s">
        <v>16</v>
      </c>
      <c r="E80" s="2" t="s">
        <v>14</v>
      </c>
      <c r="F80" s="6">
        <v>182000.0</v>
      </c>
      <c r="G80" s="7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5" t="s">
        <v>12</v>
      </c>
      <c r="B81" s="5" t="s">
        <v>13</v>
      </c>
      <c r="C81" s="2" t="s">
        <v>92</v>
      </c>
      <c r="D81" s="2" t="s">
        <v>16</v>
      </c>
      <c r="E81" s="2" t="s">
        <v>14</v>
      </c>
      <c r="F81" s="6">
        <v>0.0</v>
      </c>
      <c r="G81" s="7">
        <v>0.0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5" t="s">
        <v>12</v>
      </c>
      <c r="B82" s="5" t="s">
        <v>13</v>
      </c>
      <c r="C82" s="2" t="s">
        <v>93</v>
      </c>
      <c r="D82" s="2" t="s">
        <v>16</v>
      </c>
      <c r="E82" s="2" t="s">
        <v>14</v>
      </c>
      <c r="F82" s="6">
        <v>0.0</v>
      </c>
      <c r="G82" s="7">
        <v>0.0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5" t="s">
        <v>12</v>
      </c>
      <c r="B83" s="5" t="s">
        <v>13</v>
      </c>
      <c r="C83" s="2" t="s">
        <v>94</v>
      </c>
      <c r="D83" s="2" t="s">
        <v>16</v>
      </c>
      <c r="E83" s="2" t="s">
        <v>14</v>
      </c>
      <c r="F83" s="6">
        <v>0.0</v>
      </c>
      <c r="G83" s="7">
        <v>0.0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5" t="s">
        <v>7</v>
      </c>
      <c r="B84" s="5" t="s">
        <v>13</v>
      </c>
      <c r="C84" s="2" t="s">
        <v>95</v>
      </c>
      <c r="D84" s="2" t="s">
        <v>26</v>
      </c>
      <c r="E84" s="2" t="s">
        <v>96</v>
      </c>
      <c r="F84" s="6">
        <v>0.0</v>
      </c>
      <c r="G84" s="7">
        <v>0.0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5" t="s">
        <v>12</v>
      </c>
      <c r="B85" s="5" t="s">
        <v>13</v>
      </c>
      <c r="C85" s="2" t="s">
        <v>95</v>
      </c>
      <c r="D85" s="2" t="s">
        <v>26</v>
      </c>
      <c r="E85" s="2" t="s">
        <v>96</v>
      </c>
      <c r="F85" s="6">
        <v>1600000.0</v>
      </c>
      <c r="G85" s="7">
        <v>0.0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5" t="s">
        <v>7</v>
      </c>
      <c r="B86" s="5" t="s">
        <v>13</v>
      </c>
      <c r="C86" s="2" t="s">
        <v>97</v>
      </c>
      <c r="D86" s="2" t="s">
        <v>37</v>
      </c>
      <c r="E86" s="2" t="s">
        <v>98</v>
      </c>
      <c r="F86" s="6">
        <v>5100000.0</v>
      </c>
      <c r="G86" s="7">
        <v>0.0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5" t="s">
        <v>12</v>
      </c>
      <c r="B87" s="5" t="s">
        <v>13</v>
      </c>
      <c r="C87" s="2" t="s">
        <v>97</v>
      </c>
      <c r="D87" s="2" t="s">
        <v>37</v>
      </c>
      <c r="E87" s="2" t="s">
        <v>74</v>
      </c>
      <c r="F87" s="6">
        <v>5100000.0</v>
      </c>
      <c r="G87" s="7">
        <v>1874108.0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5" t="s">
        <v>12</v>
      </c>
      <c r="B88" s="5" t="s">
        <v>8</v>
      </c>
      <c r="C88" s="2" t="s">
        <v>97</v>
      </c>
      <c r="D88" s="2" t="s">
        <v>37</v>
      </c>
      <c r="E88" s="2" t="s">
        <v>74</v>
      </c>
      <c r="F88" s="6">
        <v>0.0</v>
      </c>
      <c r="G88" s="7">
        <v>0.0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5" t="s">
        <v>12</v>
      </c>
      <c r="B89" s="5" t="s">
        <v>13</v>
      </c>
      <c r="C89" s="2" t="s">
        <v>99</v>
      </c>
      <c r="D89" s="2" t="s">
        <v>37</v>
      </c>
      <c r="E89" s="2" t="s">
        <v>14</v>
      </c>
      <c r="F89" s="6">
        <v>0.0</v>
      </c>
      <c r="G89" s="7">
        <v>0.0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5" t="s">
        <v>12</v>
      </c>
      <c r="B90" s="5" t="s">
        <v>13</v>
      </c>
      <c r="C90" s="2" t="s">
        <v>100</v>
      </c>
      <c r="D90" s="2" t="s">
        <v>16</v>
      </c>
      <c r="E90" s="2" t="s">
        <v>14</v>
      </c>
      <c r="F90" s="6">
        <v>200000.0</v>
      </c>
      <c r="G90" s="7">
        <v>578630.0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5" t="s">
        <v>12</v>
      </c>
      <c r="B91" s="5" t="s">
        <v>13</v>
      </c>
      <c r="C91" s="2" t="s">
        <v>101</v>
      </c>
      <c r="D91" s="2" t="s">
        <v>16</v>
      </c>
      <c r="E91" s="2" t="s">
        <v>14</v>
      </c>
      <c r="F91" s="6">
        <v>0.0</v>
      </c>
      <c r="G91" s="7">
        <v>0.0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5" t="s">
        <v>12</v>
      </c>
      <c r="B92" s="5" t="s">
        <v>13</v>
      </c>
      <c r="C92" s="2" t="s">
        <v>102</v>
      </c>
      <c r="D92" s="2" t="s">
        <v>16</v>
      </c>
      <c r="E92" s="2" t="s">
        <v>14</v>
      </c>
      <c r="F92" s="6">
        <v>0.0</v>
      </c>
      <c r="G92" s="7">
        <v>0.0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5" t="s">
        <v>7</v>
      </c>
      <c r="B93" s="5" t="s">
        <v>13</v>
      </c>
      <c r="C93" s="2" t="s">
        <v>103</v>
      </c>
      <c r="D93" s="2" t="s">
        <v>37</v>
      </c>
      <c r="E93" s="2" t="s">
        <v>104</v>
      </c>
      <c r="F93" s="6">
        <v>1.0E7</v>
      </c>
      <c r="G93" s="7">
        <v>0.0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5" t="s">
        <v>12</v>
      </c>
      <c r="B94" s="5" t="s">
        <v>13</v>
      </c>
      <c r="C94" s="2" t="s">
        <v>103</v>
      </c>
      <c r="D94" s="2" t="s">
        <v>37</v>
      </c>
      <c r="E94" s="2" t="s">
        <v>96</v>
      </c>
      <c r="F94" s="6">
        <v>1.0E7</v>
      </c>
      <c r="G94" s="7">
        <v>5769248.0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5" t="s">
        <v>12</v>
      </c>
      <c r="B95" s="5" t="s">
        <v>13</v>
      </c>
      <c r="C95" s="2" t="s">
        <v>105</v>
      </c>
      <c r="D95" s="2" t="s">
        <v>37</v>
      </c>
      <c r="E95" s="2" t="s">
        <v>49</v>
      </c>
      <c r="F95" s="6">
        <v>0.0</v>
      </c>
      <c r="G95" s="7">
        <v>2003380.0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5" t="s">
        <v>7</v>
      </c>
      <c r="B96" s="5" t="s">
        <v>8</v>
      </c>
      <c r="C96" s="2" t="s">
        <v>106</v>
      </c>
      <c r="D96" s="2" t="s">
        <v>37</v>
      </c>
      <c r="E96" s="2" t="s">
        <v>96</v>
      </c>
      <c r="F96" s="6">
        <v>950000.0</v>
      </c>
      <c r="G96" s="7">
        <v>0.0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5" t="s">
        <v>12</v>
      </c>
      <c r="B97" s="5" t="s">
        <v>8</v>
      </c>
      <c r="C97" s="2" t="s">
        <v>106</v>
      </c>
      <c r="D97" s="2" t="s">
        <v>37</v>
      </c>
      <c r="E97" s="2" t="s">
        <v>96</v>
      </c>
      <c r="F97" s="6">
        <v>3085000.0</v>
      </c>
      <c r="G97" s="7">
        <v>2124078.9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5" t="s">
        <v>12</v>
      </c>
      <c r="B98" s="5" t="s">
        <v>13</v>
      </c>
      <c r="C98" s="2" t="s">
        <v>107</v>
      </c>
      <c r="D98" s="2" t="s">
        <v>16</v>
      </c>
      <c r="E98" s="2" t="s">
        <v>14</v>
      </c>
      <c r="F98" s="6">
        <v>63000.0</v>
      </c>
      <c r="G98" s="7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5" t="s">
        <v>12</v>
      </c>
      <c r="B99" s="5" t="s">
        <v>13</v>
      </c>
      <c r="C99" s="2" t="s">
        <v>108</v>
      </c>
      <c r="D99" s="2" t="s">
        <v>32</v>
      </c>
      <c r="E99" s="2" t="s">
        <v>17</v>
      </c>
      <c r="F99" s="6">
        <v>700000.0</v>
      </c>
      <c r="G99" s="7">
        <v>0.0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5" t="s">
        <v>12</v>
      </c>
      <c r="B100" s="5" t="s">
        <v>13</v>
      </c>
      <c r="C100" s="2" t="s">
        <v>109</v>
      </c>
      <c r="D100" s="2" t="s">
        <v>16</v>
      </c>
      <c r="E100" s="2" t="s">
        <v>33</v>
      </c>
      <c r="F100" s="6">
        <v>0.0</v>
      </c>
      <c r="G100" s="7">
        <v>0.0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5" t="s">
        <v>12</v>
      </c>
      <c r="B101" s="5" t="s">
        <v>13</v>
      </c>
      <c r="C101" s="2" t="s">
        <v>110</v>
      </c>
      <c r="D101" s="2" t="s">
        <v>16</v>
      </c>
      <c r="E101" s="2" t="s">
        <v>14</v>
      </c>
      <c r="F101" s="6">
        <v>0.0</v>
      </c>
      <c r="G101" s="7">
        <v>0.0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5" t="s">
        <v>12</v>
      </c>
      <c r="B102" s="5" t="s">
        <v>13</v>
      </c>
      <c r="C102" s="2" t="s">
        <v>111</v>
      </c>
      <c r="D102" s="2" t="s">
        <v>16</v>
      </c>
      <c r="E102" s="2" t="s">
        <v>17</v>
      </c>
      <c r="F102" s="6">
        <v>0.0</v>
      </c>
      <c r="G102" s="7">
        <v>0.0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5" t="s">
        <v>12</v>
      </c>
      <c r="B103" s="5" t="s">
        <v>13</v>
      </c>
      <c r="C103" s="2" t="s">
        <v>112</v>
      </c>
      <c r="D103" s="2" t="s">
        <v>16</v>
      </c>
      <c r="E103" s="2" t="s">
        <v>14</v>
      </c>
      <c r="F103" s="6">
        <v>0.0</v>
      </c>
      <c r="G103" s="7">
        <v>0.0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5" t="s">
        <v>12</v>
      </c>
      <c r="B104" s="5" t="s">
        <v>13</v>
      </c>
      <c r="C104" s="2" t="s">
        <v>113</v>
      </c>
      <c r="D104" s="2" t="s">
        <v>16</v>
      </c>
      <c r="E104" s="2" t="s">
        <v>14</v>
      </c>
      <c r="F104" s="6">
        <v>0.0</v>
      </c>
      <c r="G104" s="7">
        <v>0.0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5" t="s">
        <v>12</v>
      </c>
      <c r="B105" s="5" t="s">
        <v>13</v>
      </c>
      <c r="C105" s="2" t="s">
        <v>114</v>
      </c>
      <c r="D105" s="2" t="s">
        <v>115</v>
      </c>
      <c r="E105" s="2" t="s">
        <v>11</v>
      </c>
      <c r="F105" s="6">
        <v>1000000.0</v>
      </c>
      <c r="G105" s="7">
        <v>0.0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5" t="s">
        <v>12</v>
      </c>
      <c r="B106" s="5" t="s">
        <v>13</v>
      </c>
      <c r="C106" s="2" t="s">
        <v>116</v>
      </c>
      <c r="D106" s="2" t="s">
        <v>16</v>
      </c>
      <c r="E106" s="2" t="s">
        <v>14</v>
      </c>
      <c r="F106" s="6">
        <v>0.0</v>
      </c>
      <c r="G106" s="7">
        <v>0.0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5" t="s">
        <v>12</v>
      </c>
      <c r="B107" s="5" t="s">
        <v>13</v>
      </c>
      <c r="C107" s="2" t="s">
        <v>117</v>
      </c>
      <c r="D107" s="2" t="s">
        <v>16</v>
      </c>
      <c r="E107" s="2" t="s">
        <v>14</v>
      </c>
      <c r="F107" s="6">
        <v>0.0</v>
      </c>
      <c r="G107" s="7">
        <v>0.0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5" t="s">
        <v>12</v>
      </c>
      <c r="B108" s="5" t="s">
        <v>8</v>
      </c>
      <c r="C108" s="2" t="s">
        <v>118</v>
      </c>
      <c r="D108" s="2" t="s">
        <v>16</v>
      </c>
      <c r="E108" s="2" t="s">
        <v>33</v>
      </c>
      <c r="F108" s="6">
        <v>21000.0</v>
      </c>
      <c r="G108" s="7">
        <v>0.0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5" t="s">
        <v>7</v>
      </c>
      <c r="B109" s="5" t="s">
        <v>13</v>
      </c>
      <c r="C109" s="2" t="s">
        <v>119</v>
      </c>
      <c r="D109" s="2" t="s">
        <v>16</v>
      </c>
      <c r="E109" s="2" t="s">
        <v>55</v>
      </c>
      <c r="F109" s="6">
        <v>100000.0</v>
      </c>
      <c r="G109" s="7">
        <v>0.0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5" t="s">
        <v>12</v>
      </c>
      <c r="B110" s="5" t="s">
        <v>13</v>
      </c>
      <c r="C110" s="2" t="s">
        <v>119</v>
      </c>
      <c r="D110" s="2" t="s">
        <v>16</v>
      </c>
      <c r="E110" s="2" t="s">
        <v>55</v>
      </c>
      <c r="F110" s="6">
        <v>500000.0</v>
      </c>
      <c r="G110" s="7">
        <v>50506.0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5" t="s">
        <v>7</v>
      </c>
      <c r="B111" s="5" t="s">
        <v>13</v>
      </c>
      <c r="C111" s="2" t="s">
        <v>120</v>
      </c>
      <c r="D111" s="2" t="s">
        <v>16</v>
      </c>
      <c r="E111" s="2" t="s">
        <v>14</v>
      </c>
      <c r="F111" s="6">
        <v>0.0</v>
      </c>
      <c r="G111" s="7">
        <v>0.0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5" t="s">
        <v>12</v>
      </c>
      <c r="B112" s="5" t="s">
        <v>13</v>
      </c>
      <c r="C112" s="2" t="s">
        <v>120</v>
      </c>
      <c r="D112" s="2" t="s">
        <v>16</v>
      </c>
      <c r="E112" s="2" t="s">
        <v>14</v>
      </c>
      <c r="F112" s="6">
        <v>0.0</v>
      </c>
      <c r="G112" s="7">
        <v>0.0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5" t="s">
        <v>12</v>
      </c>
      <c r="B113" s="5" t="s">
        <v>13</v>
      </c>
      <c r="C113" s="2" t="s">
        <v>121</v>
      </c>
      <c r="D113" s="2" t="s">
        <v>16</v>
      </c>
      <c r="E113" s="2" t="s">
        <v>14</v>
      </c>
      <c r="F113" s="6">
        <v>0.0</v>
      </c>
      <c r="G113" s="7">
        <v>0.0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5" t="s">
        <v>7</v>
      </c>
      <c r="B114" s="5" t="s">
        <v>13</v>
      </c>
      <c r="C114" s="2" t="s">
        <v>122</v>
      </c>
      <c r="D114" s="2" t="s">
        <v>16</v>
      </c>
      <c r="E114" s="2" t="s">
        <v>14</v>
      </c>
      <c r="F114" s="6">
        <v>0.0</v>
      </c>
      <c r="G114" s="7">
        <v>0.0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5" t="s">
        <v>12</v>
      </c>
      <c r="B115" s="5" t="s">
        <v>13</v>
      </c>
      <c r="C115" s="2" t="s">
        <v>123</v>
      </c>
      <c r="D115" s="2" t="s">
        <v>16</v>
      </c>
      <c r="E115" s="2" t="s">
        <v>11</v>
      </c>
      <c r="F115" s="6">
        <v>0.0</v>
      </c>
      <c r="G115" s="7">
        <v>819037.0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5" t="s">
        <v>12</v>
      </c>
      <c r="B116" s="5" t="s">
        <v>13</v>
      </c>
      <c r="C116" s="2" t="s">
        <v>124</v>
      </c>
      <c r="D116" s="2" t="s">
        <v>115</v>
      </c>
      <c r="E116" s="2" t="s">
        <v>125</v>
      </c>
      <c r="F116" s="6">
        <v>1.0</v>
      </c>
      <c r="G116" s="7">
        <v>0.0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5" t="s">
        <v>12</v>
      </c>
      <c r="B117" s="5" t="s">
        <v>13</v>
      </c>
      <c r="C117" s="2" t="s">
        <v>126</v>
      </c>
      <c r="D117" s="2" t="s">
        <v>16</v>
      </c>
      <c r="E117" s="2" t="s">
        <v>14</v>
      </c>
      <c r="F117" s="6">
        <v>0.0</v>
      </c>
      <c r="G117" s="7">
        <v>210011.0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5" t="s">
        <v>7</v>
      </c>
      <c r="B118" s="5" t="s">
        <v>13</v>
      </c>
      <c r="C118" s="2" t="s">
        <v>127</v>
      </c>
      <c r="D118" s="2" t="s">
        <v>32</v>
      </c>
      <c r="E118" s="2" t="s">
        <v>23</v>
      </c>
      <c r="F118" s="6">
        <v>2000000.0</v>
      </c>
      <c r="G118" s="7">
        <v>0.0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5" t="s">
        <v>12</v>
      </c>
      <c r="B119" s="5" t="s">
        <v>13</v>
      </c>
      <c r="C119" s="2" t="s">
        <v>127</v>
      </c>
      <c r="D119" s="2" t="s">
        <v>32</v>
      </c>
      <c r="E119" s="2" t="s">
        <v>17</v>
      </c>
      <c r="F119" s="6">
        <v>2000000.0</v>
      </c>
      <c r="G119" s="7">
        <v>807839.0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5" t="s">
        <v>12</v>
      </c>
      <c r="B120" s="5" t="s">
        <v>13</v>
      </c>
      <c r="C120" s="2" t="s">
        <v>128</v>
      </c>
      <c r="D120" s="2" t="s">
        <v>48</v>
      </c>
      <c r="E120" s="2" t="s">
        <v>14</v>
      </c>
      <c r="F120" s="6">
        <v>1860000.0</v>
      </c>
      <c r="G120" s="7">
        <v>-4620.0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5" t="s">
        <v>12</v>
      </c>
      <c r="B121" s="5" t="s">
        <v>8</v>
      </c>
      <c r="C121" s="2" t="s">
        <v>128</v>
      </c>
      <c r="D121" s="2" t="s">
        <v>48</v>
      </c>
      <c r="E121" s="2" t="s">
        <v>14</v>
      </c>
      <c r="F121" s="6">
        <v>4720.0</v>
      </c>
      <c r="G121" s="7">
        <v>3458.0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5" t="s">
        <v>7</v>
      </c>
      <c r="B122" s="5" t="s">
        <v>8</v>
      </c>
      <c r="C122" s="2" t="s">
        <v>129</v>
      </c>
      <c r="D122" s="2" t="s">
        <v>48</v>
      </c>
      <c r="E122" s="2" t="s">
        <v>11</v>
      </c>
      <c r="F122" s="6">
        <v>0.0</v>
      </c>
      <c r="G122" s="7">
        <v>0.0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5" t="s">
        <v>7</v>
      </c>
      <c r="B123" s="5" t="s">
        <v>13</v>
      </c>
      <c r="C123" s="2" t="s">
        <v>129</v>
      </c>
      <c r="D123" s="2" t="s">
        <v>48</v>
      </c>
      <c r="E123" s="2" t="s">
        <v>11</v>
      </c>
      <c r="F123" s="6">
        <v>0.0</v>
      </c>
      <c r="G123" s="7">
        <v>0.0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5" t="s">
        <v>12</v>
      </c>
      <c r="B124" s="5" t="s">
        <v>8</v>
      </c>
      <c r="C124" s="2" t="s">
        <v>129</v>
      </c>
      <c r="D124" s="2" t="s">
        <v>48</v>
      </c>
      <c r="E124" s="2" t="s">
        <v>11</v>
      </c>
      <c r="F124" s="6">
        <v>3000000.0</v>
      </c>
      <c r="G124" s="7">
        <v>521496.6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5" t="s">
        <v>12</v>
      </c>
      <c r="B125" s="5" t="s">
        <v>13</v>
      </c>
      <c r="C125" s="2" t="s">
        <v>130</v>
      </c>
      <c r="D125" s="2" t="s">
        <v>16</v>
      </c>
      <c r="E125" s="2" t="s">
        <v>14</v>
      </c>
      <c r="F125" s="6">
        <v>0.0</v>
      </c>
      <c r="G125" s="7">
        <v>0.0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5" t="s">
        <v>12</v>
      </c>
      <c r="B126" s="5" t="s">
        <v>13</v>
      </c>
      <c r="C126" s="2" t="s">
        <v>131</v>
      </c>
      <c r="D126" s="2" t="s">
        <v>16</v>
      </c>
      <c r="E126" s="2" t="s">
        <v>49</v>
      </c>
      <c r="F126" s="6">
        <v>0.0</v>
      </c>
      <c r="G126" s="7">
        <v>0.0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5" t="s">
        <v>12</v>
      </c>
      <c r="B127" s="5" t="s">
        <v>8</v>
      </c>
      <c r="C127" s="2" t="s">
        <v>132</v>
      </c>
      <c r="D127" s="2" t="s">
        <v>16</v>
      </c>
      <c r="E127" s="2" t="s">
        <v>14</v>
      </c>
      <c r="F127" s="6">
        <v>0.0</v>
      </c>
      <c r="G127" s="7">
        <v>0.0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5" t="s">
        <v>7</v>
      </c>
      <c r="B128" s="5" t="s">
        <v>8</v>
      </c>
      <c r="C128" s="2" t="s">
        <v>133</v>
      </c>
      <c r="D128" s="2" t="s">
        <v>16</v>
      </c>
      <c r="E128" s="2" t="s">
        <v>14</v>
      </c>
      <c r="F128" s="6">
        <v>0.0</v>
      </c>
      <c r="G128" s="7">
        <v>0.0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5" t="s">
        <v>12</v>
      </c>
      <c r="B129" s="5" t="s">
        <v>13</v>
      </c>
      <c r="C129" s="2" t="s">
        <v>133</v>
      </c>
      <c r="D129" s="2" t="s">
        <v>16</v>
      </c>
      <c r="E129" s="2" t="s">
        <v>14</v>
      </c>
      <c r="F129" s="6">
        <v>0.0</v>
      </c>
      <c r="G129" s="7">
        <v>0.0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5" t="s">
        <v>12</v>
      </c>
      <c r="B130" s="5" t="s">
        <v>8</v>
      </c>
      <c r="C130" s="2" t="s">
        <v>133</v>
      </c>
      <c r="D130" s="2" t="s">
        <v>16</v>
      </c>
      <c r="E130" s="2" t="s">
        <v>14</v>
      </c>
      <c r="F130" s="6">
        <v>0.0</v>
      </c>
      <c r="G130" s="7">
        <v>0.0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5" t="s">
        <v>12</v>
      </c>
      <c r="B131" s="5" t="s">
        <v>13</v>
      </c>
      <c r="C131" s="2" t="s">
        <v>134</v>
      </c>
      <c r="D131" s="2" t="s">
        <v>16</v>
      </c>
      <c r="E131" s="2" t="s">
        <v>14</v>
      </c>
      <c r="F131" s="6">
        <v>0.0</v>
      </c>
      <c r="G131" s="7">
        <v>0.0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5" t="s">
        <v>12</v>
      </c>
      <c r="B132" s="5" t="s">
        <v>13</v>
      </c>
      <c r="C132" s="2" t="s">
        <v>135</v>
      </c>
      <c r="D132" s="2" t="s">
        <v>16</v>
      </c>
      <c r="E132" s="2" t="s">
        <v>14</v>
      </c>
      <c r="F132" s="6">
        <v>0.0</v>
      </c>
      <c r="G132" s="7">
        <v>-50000.0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5" t="s">
        <v>12</v>
      </c>
      <c r="B133" s="5" t="s">
        <v>8</v>
      </c>
      <c r="C133" s="2" t="s">
        <v>135</v>
      </c>
      <c r="D133" s="2" t="s">
        <v>16</v>
      </c>
      <c r="E133" s="2" t="s">
        <v>14</v>
      </c>
      <c r="F133" s="6">
        <v>0.0</v>
      </c>
      <c r="G133" s="7">
        <v>0.0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5" t="s">
        <v>7</v>
      </c>
      <c r="B134" s="5" t="s">
        <v>13</v>
      </c>
      <c r="C134" s="2" t="s">
        <v>136</v>
      </c>
      <c r="D134" s="2" t="s">
        <v>16</v>
      </c>
      <c r="E134" s="2" t="s">
        <v>14</v>
      </c>
      <c r="F134" s="6">
        <v>0.0</v>
      </c>
      <c r="G134" s="7">
        <v>0.0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5" t="s">
        <v>12</v>
      </c>
      <c r="B135" s="5" t="s">
        <v>13</v>
      </c>
      <c r="C135" s="2" t="s">
        <v>136</v>
      </c>
      <c r="D135" s="2" t="s">
        <v>16</v>
      </c>
      <c r="E135" s="2" t="s">
        <v>49</v>
      </c>
      <c r="F135" s="6">
        <v>1375000.0</v>
      </c>
      <c r="G135" s="7">
        <v>1416880.0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5" t="s">
        <v>12</v>
      </c>
      <c r="B136" s="5" t="s">
        <v>13</v>
      </c>
      <c r="C136" s="2" t="s">
        <v>137</v>
      </c>
      <c r="D136" s="2" t="s">
        <v>16</v>
      </c>
      <c r="E136" s="2" t="s">
        <v>14</v>
      </c>
      <c r="F136" s="6">
        <v>0.0</v>
      </c>
      <c r="G136" s="7">
        <v>0.0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5" t="s">
        <v>12</v>
      </c>
      <c r="B137" s="5" t="s">
        <v>13</v>
      </c>
      <c r="C137" s="2" t="s">
        <v>138</v>
      </c>
      <c r="D137" s="2" t="s">
        <v>16</v>
      </c>
      <c r="E137" s="2" t="s">
        <v>14</v>
      </c>
      <c r="F137" s="6">
        <v>0.0</v>
      </c>
      <c r="G137" s="7">
        <v>0.0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5" t="s">
        <v>12</v>
      </c>
      <c r="B138" s="5" t="s">
        <v>13</v>
      </c>
      <c r="C138" s="2" t="s">
        <v>139</v>
      </c>
      <c r="D138" s="2" t="s">
        <v>16</v>
      </c>
      <c r="E138" s="2" t="s">
        <v>14</v>
      </c>
      <c r="F138" s="6">
        <v>0.0</v>
      </c>
      <c r="G138" s="7">
        <v>0.0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" t="s">
        <v>7</v>
      </c>
      <c r="B139" s="5" t="s">
        <v>13</v>
      </c>
      <c r="C139" s="2" t="s">
        <v>140</v>
      </c>
      <c r="D139" s="2" t="s">
        <v>32</v>
      </c>
      <c r="E139" s="2" t="s">
        <v>17</v>
      </c>
      <c r="F139" s="6">
        <v>1000000.0</v>
      </c>
      <c r="G139" s="7">
        <v>0.0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5" t="s">
        <v>12</v>
      </c>
      <c r="B140" s="5" t="s">
        <v>13</v>
      </c>
      <c r="C140" s="2" t="s">
        <v>140</v>
      </c>
      <c r="D140" s="2" t="s">
        <v>32</v>
      </c>
      <c r="E140" s="2" t="s">
        <v>17</v>
      </c>
      <c r="F140" s="6">
        <v>2750000.0</v>
      </c>
      <c r="G140" s="7">
        <v>1360615.0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5" t="s">
        <v>12</v>
      </c>
      <c r="B141" s="5" t="s">
        <v>13</v>
      </c>
      <c r="C141" s="2" t="s">
        <v>141</v>
      </c>
      <c r="D141" s="2" t="s">
        <v>32</v>
      </c>
      <c r="E141" s="2" t="s">
        <v>49</v>
      </c>
      <c r="F141" s="6">
        <v>0.0</v>
      </c>
      <c r="G141" s="7">
        <v>-201000.0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5" t="s">
        <v>12</v>
      </c>
      <c r="B142" s="5" t="s">
        <v>13</v>
      </c>
      <c r="C142" s="2" t="s">
        <v>142</v>
      </c>
      <c r="D142" s="2" t="s">
        <v>32</v>
      </c>
      <c r="E142" s="2" t="s">
        <v>49</v>
      </c>
      <c r="F142" s="6">
        <v>1750000.0</v>
      </c>
      <c r="G142" s="7">
        <v>111584.0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5" t="s">
        <v>7</v>
      </c>
      <c r="B143" s="5" t="s">
        <v>13</v>
      </c>
      <c r="C143" s="2" t="s">
        <v>143</v>
      </c>
      <c r="D143" s="2" t="s">
        <v>32</v>
      </c>
      <c r="E143" s="2" t="s">
        <v>144</v>
      </c>
      <c r="F143" s="6">
        <v>1750000.0</v>
      </c>
      <c r="G143" s="7">
        <v>0.0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5" t="s">
        <v>7</v>
      </c>
      <c r="B144" s="5" t="s">
        <v>13</v>
      </c>
      <c r="C144" s="2" t="s">
        <v>145</v>
      </c>
      <c r="D144" s="2" t="s">
        <v>26</v>
      </c>
      <c r="E144" s="2" t="s">
        <v>17</v>
      </c>
      <c r="F144" s="6">
        <v>0.0</v>
      </c>
      <c r="G144" s="7">
        <v>0.0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5" t="s">
        <v>12</v>
      </c>
      <c r="B145" s="5" t="s">
        <v>13</v>
      </c>
      <c r="C145" s="2" t="s">
        <v>145</v>
      </c>
      <c r="D145" s="2" t="s">
        <v>26</v>
      </c>
      <c r="E145" s="2" t="s">
        <v>17</v>
      </c>
      <c r="F145" s="6">
        <v>1000000.0</v>
      </c>
      <c r="G145" s="7">
        <v>63012.0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5" t="s">
        <v>12</v>
      </c>
      <c r="B146" s="5" t="s">
        <v>13</v>
      </c>
      <c r="C146" s="2" t="s">
        <v>146</v>
      </c>
      <c r="D146" s="2" t="s">
        <v>26</v>
      </c>
      <c r="E146" s="2" t="s">
        <v>14</v>
      </c>
      <c r="F146" s="6">
        <v>0.0</v>
      </c>
      <c r="G146" s="7">
        <v>0.0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5" t="s">
        <v>12</v>
      </c>
      <c r="B147" s="5" t="s">
        <v>13</v>
      </c>
      <c r="C147" s="2" t="s">
        <v>147</v>
      </c>
      <c r="D147" s="2" t="s">
        <v>16</v>
      </c>
      <c r="E147" s="2" t="s">
        <v>14</v>
      </c>
      <c r="F147" s="6">
        <v>0.0</v>
      </c>
      <c r="G147" s="7">
        <v>0.0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5" t="s">
        <v>12</v>
      </c>
      <c r="B148" s="5" t="s">
        <v>13</v>
      </c>
      <c r="C148" s="2" t="s">
        <v>148</v>
      </c>
      <c r="D148" s="2" t="s">
        <v>16</v>
      </c>
      <c r="E148" s="2" t="s">
        <v>14</v>
      </c>
      <c r="F148" s="6">
        <v>0.0</v>
      </c>
      <c r="G148" s="7">
        <v>0.0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5" t="s">
        <v>12</v>
      </c>
      <c r="B149" s="5" t="s">
        <v>13</v>
      </c>
      <c r="C149" s="2" t="s">
        <v>149</v>
      </c>
      <c r="D149" s="2" t="s">
        <v>16</v>
      </c>
      <c r="E149" s="2" t="s">
        <v>14</v>
      </c>
      <c r="F149" s="6">
        <v>0.0</v>
      </c>
      <c r="G149" s="7">
        <v>0.0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5" t="s">
        <v>12</v>
      </c>
      <c r="B150" s="5" t="s">
        <v>13</v>
      </c>
      <c r="C150" s="2" t="s">
        <v>150</v>
      </c>
      <c r="D150" s="2" t="s">
        <v>16</v>
      </c>
      <c r="E150" s="2" t="s">
        <v>14</v>
      </c>
      <c r="F150" s="6">
        <v>0.0</v>
      </c>
      <c r="G150" s="7">
        <v>0.0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5" t="s">
        <v>7</v>
      </c>
      <c r="B151" s="5" t="s">
        <v>13</v>
      </c>
      <c r="C151" s="2" t="s">
        <v>151</v>
      </c>
      <c r="D151" s="2" t="s">
        <v>16</v>
      </c>
      <c r="E151" s="2" t="s">
        <v>14</v>
      </c>
      <c r="F151" s="6">
        <v>0.0</v>
      </c>
      <c r="G151" s="7">
        <v>0.0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5" t="s">
        <v>12</v>
      </c>
      <c r="B152" s="5" t="s">
        <v>13</v>
      </c>
      <c r="C152" s="2" t="s">
        <v>151</v>
      </c>
      <c r="D152" s="2" t="s">
        <v>16</v>
      </c>
      <c r="E152" s="2" t="s">
        <v>14</v>
      </c>
      <c r="F152" s="6">
        <v>3500000.0</v>
      </c>
      <c r="G152" s="7">
        <v>0.0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5" t="s">
        <v>12</v>
      </c>
      <c r="B153" s="5" t="s">
        <v>13</v>
      </c>
      <c r="C153" s="2" t="s">
        <v>152</v>
      </c>
      <c r="D153" s="2" t="s">
        <v>16</v>
      </c>
      <c r="E153" s="2" t="s">
        <v>14</v>
      </c>
      <c r="F153" s="6">
        <v>0.0</v>
      </c>
      <c r="G153" s="7">
        <v>0.0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5" t="s">
        <v>7</v>
      </c>
      <c r="B154" s="5" t="s">
        <v>13</v>
      </c>
      <c r="C154" s="2" t="s">
        <v>153</v>
      </c>
      <c r="D154" s="2" t="s">
        <v>32</v>
      </c>
      <c r="E154" s="2" t="s">
        <v>144</v>
      </c>
      <c r="F154" s="6">
        <v>3500000.0</v>
      </c>
      <c r="G154" s="7">
        <v>0.0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5" t="s">
        <v>12</v>
      </c>
      <c r="B155" s="5" t="s">
        <v>13</v>
      </c>
      <c r="C155" s="2" t="s">
        <v>153</v>
      </c>
      <c r="D155" s="2" t="s">
        <v>32</v>
      </c>
      <c r="E155" s="2" t="s">
        <v>14</v>
      </c>
      <c r="F155" s="6">
        <v>2400000.0</v>
      </c>
      <c r="G155" s="7">
        <v>1726.0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5" t="s">
        <v>7</v>
      </c>
      <c r="B156" s="5" t="s">
        <v>13</v>
      </c>
      <c r="C156" s="2" t="s">
        <v>154</v>
      </c>
      <c r="D156" s="2" t="s">
        <v>48</v>
      </c>
      <c r="E156" s="2" t="s">
        <v>23</v>
      </c>
      <c r="F156" s="6">
        <v>4635000.0</v>
      </c>
      <c r="G156" s="7">
        <v>0.0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5" t="s">
        <v>12</v>
      </c>
      <c r="B157" s="5" t="s">
        <v>13</v>
      </c>
      <c r="C157" s="2" t="s">
        <v>154</v>
      </c>
      <c r="D157" s="2" t="s">
        <v>48</v>
      </c>
      <c r="E157" s="2" t="s">
        <v>17</v>
      </c>
      <c r="F157" s="6">
        <v>4635000.0</v>
      </c>
      <c r="G157" s="7">
        <v>3360204.0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5" t="s">
        <v>12</v>
      </c>
      <c r="B158" s="5" t="s">
        <v>8</v>
      </c>
      <c r="C158" s="2" t="s">
        <v>154</v>
      </c>
      <c r="D158" s="2" t="s">
        <v>48</v>
      </c>
      <c r="E158" s="2" t="s">
        <v>17</v>
      </c>
      <c r="F158" s="6">
        <v>4278524.0</v>
      </c>
      <c r="G158" s="7">
        <v>85993.0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5" t="s">
        <v>12</v>
      </c>
      <c r="B159" s="5" t="s">
        <v>13</v>
      </c>
      <c r="C159" s="2" t="s">
        <v>155</v>
      </c>
      <c r="D159" s="2" t="s">
        <v>48</v>
      </c>
      <c r="E159" s="2" t="s">
        <v>14</v>
      </c>
      <c r="F159" s="6">
        <v>0.0</v>
      </c>
      <c r="G159" s="7">
        <v>1.216E7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" t="s">
        <v>12</v>
      </c>
      <c r="B160" s="5" t="s">
        <v>13</v>
      </c>
      <c r="C160" s="2" t="s">
        <v>156</v>
      </c>
      <c r="D160" s="2" t="s">
        <v>16</v>
      </c>
      <c r="E160" s="2" t="s">
        <v>33</v>
      </c>
      <c r="F160" s="6">
        <v>0.0</v>
      </c>
      <c r="G160" s="7">
        <v>0.0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5" t="s">
        <v>7</v>
      </c>
      <c r="B161" s="5" t="s">
        <v>13</v>
      </c>
      <c r="C161" s="2" t="s">
        <v>157</v>
      </c>
      <c r="D161" s="2" t="s">
        <v>32</v>
      </c>
      <c r="E161" s="2" t="s">
        <v>23</v>
      </c>
      <c r="F161" s="6">
        <v>1500000.0</v>
      </c>
      <c r="G161" s="7">
        <v>0.0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5" t="s">
        <v>12</v>
      </c>
      <c r="B162" s="5" t="s">
        <v>13</v>
      </c>
      <c r="C162" s="2" t="s">
        <v>157</v>
      </c>
      <c r="D162" s="2" t="s">
        <v>32</v>
      </c>
      <c r="E162" s="2" t="s">
        <v>17</v>
      </c>
      <c r="F162" s="6">
        <v>1500000.0</v>
      </c>
      <c r="G162" s="7">
        <v>0.0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5" t="s">
        <v>12</v>
      </c>
      <c r="B163" s="5" t="s">
        <v>13</v>
      </c>
      <c r="C163" s="2" t="s">
        <v>158</v>
      </c>
      <c r="D163" s="2" t="s">
        <v>32</v>
      </c>
      <c r="E163" s="2" t="s">
        <v>14</v>
      </c>
      <c r="F163" s="6">
        <v>0.0</v>
      </c>
      <c r="G163" s="7">
        <v>0.0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5" t="s">
        <v>7</v>
      </c>
      <c r="B164" s="5" t="s">
        <v>8</v>
      </c>
      <c r="C164" s="2" t="s">
        <v>159</v>
      </c>
      <c r="D164" s="2" t="s">
        <v>10</v>
      </c>
      <c r="E164" s="2" t="s">
        <v>17</v>
      </c>
      <c r="F164" s="6">
        <v>0.0</v>
      </c>
      <c r="G164" s="7">
        <v>0.0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5" t="s">
        <v>12</v>
      </c>
      <c r="B165" s="5" t="s">
        <v>8</v>
      </c>
      <c r="C165" s="2" t="s">
        <v>159</v>
      </c>
      <c r="D165" s="2" t="s">
        <v>10</v>
      </c>
      <c r="E165" s="2" t="s">
        <v>49</v>
      </c>
      <c r="F165" s="6">
        <v>1300000.0</v>
      </c>
      <c r="G165" s="7">
        <v>465401.0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5" t="s">
        <v>12</v>
      </c>
      <c r="B166" s="5" t="s">
        <v>13</v>
      </c>
      <c r="C166" s="2" t="s">
        <v>159</v>
      </c>
      <c r="D166" s="2" t="s">
        <v>10</v>
      </c>
      <c r="E166" s="2" t="s">
        <v>14</v>
      </c>
      <c r="F166" s="6">
        <v>1247000.0</v>
      </c>
      <c r="G166" s="7">
        <v>0.0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5" t="s">
        <v>12</v>
      </c>
      <c r="B167" s="5" t="s">
        <v>13</v>
      </c>
      <c r="C167" s="2" t="s">
        <v>160</v>
      </c>
      <c r="D167" s="2" t="s">
        <v>10</v>
      </c>
      <c r="E167" s="2" t="s">
        <v>14</v>
      </c>
      <c r="F167" s="6">
        <v>0.0</v>
      </c>
      <c r="G167" s="7">
        <v>8850.0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5" t="s">
        <v>7</v>
      </c>
      <c r="B168" s="5" t="s">
        <v>13</v>
      </c>
      <c r="C168" s="2" t="s">
        <v>161</v>
      </c>
      <c r="D168" s="2" t="s">
        <v>16</v>
      </c>
      <c r="E168" s="2" t="s">
        <v>23</v>
      </c>
      <c r="F168" s="6">
        <v>1000000.0</v>
      </c>
      <c r="G168" s="7">
        <v>0.0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5" t="s">
        <v>12</v>
      </c>
      <c r="B169" s="5" t="s">
        <v>13</v>
      </c>
      <c r="C169" s="2" t="s">
        <v>161</v>
      </c>
      <c r="D169" s="2" t="s">
        <v>16</v>
      </c>
      <c r="E169" s="2" t="s">
        <v>17</v>
      </c>
      <c r="F169" s="6">
        <v>1000000.0</v>
      </c>
      <c r="G169" s="7">
        <v>224361.0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5" t="s">
        <v>12</v>
      </c>
      <c r="B170" s="5" t="s">
        <v>13</v>
      </c>
      <c r="C170" s="2" t="s">
        <v>162</v>
      </c>
      <c r="D170" s="2" t="s">
        <v>16</v>
      </c>
      <c r="E170" s="2" t="s">
        <v>14</v>
      </c>
      <c r="F170" s="6">
        <v>0.0</v>
      </c>
      <c r="G170" s="7">
        <v>0.0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5" t="s">
        <v>7</v>
      </c>
      <c r="B171" s="5" t="s">
        <v>13</v>
      </c>
      <c r="C171" s="2" t="s">
        <v>163</v>
      </c>
      <c r="D171" s="2" t="s">
        <v>48</v>
      </c>
      <c r="E171" s="2" t="s">
        <v>49</v>
      </c>
      <c r="F171" s="6">
        <v>3250000.0</v>
      </c>
      <c r="G171" s="7">
        <v>0.0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5" t="s">
        <v>12</v>
      </c>
      <c r="B172" s="5" t="s">
        <v>13</v>
      </c>
      <c r="C172" s="2" t="s">
        <v>163</v>
      </c>
      <c r="D172" s="2" t="s">
        <v>48</v>
      </c>
      <c r="E172" s="2" t="s">
        <v>49</v>
      </c>
      <c r="F172" s="6">
        <v>2200000.0</v>
      </c>
      <c r="G172" s="7">
        <v>-26.0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5" t="s">
        <v>12</v>
      </c>
      <c r="B173" s="5" t="s">
        <v>8</v>
      </c>
      <c r="C173" s="2" t="s">
        <v>163</v>
      </c>
      <c r="D173" s="2" t="s">
        <v>48</v>
      </c>
      <c r="E173" s="2" t="s">
        <v>14</v>
      </c>
      <c r="F173" s="6">
        <v>100000.0</v>
      </c>
      <c r="G173" s="7">
        <v>0.0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5" t="s">
        <v>7</v>
      </c>
      <c r="B174" s="5" t="s">
        <v>13</v>
      </c>
      <c r="C174" s="2" t="s">
        <v>164</v>
      </c>
      <c r="D174" s="2" t="s">
        <v>48</v>
      </c>
      <c r="E174" s="2" t="s">
        <v>165</v>
      </c>
      <c r="F174" s="6">
        <v>4.0E7</v>
      </c>
      <c r="G174" s="7">
        <v>0.0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5" t="s">
        <v>12</v>
      </c>
      <c r="B175" s="5" t="s">
        <v>13</v>
      </c>
      <c r="C175" s="2" t="s">
        <v>164</v>
      </c>
      <c r="D175" s="2" t="s">
        <v>48</v>
      </c>
      <c r="E175" s="2" t="s">
        <v>11</v>
      </c>
      <c r="F175" s="6">
        <v>4.0E7</v>
      </c>
      <c r="G175" s="7">
        <v>1.1016005E7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5" t="s">
        <v>12</v>
      </c>
      <c r="B176" s="5" t="s">
        <v>8</v>
      </c>
      <c r="C176" s="2" t="s">
        <v>164</v>
      </c>
      <c r="D176" s="2" t="s">
        <v>48</v>
      </c>
      <c r="E176" s="2" t="s">
        <v>11</v>
      </c>
      <c r="F176" s="6">
        <v>2.4928322E7</v>
      </c>
      <c r="G176" s="7">
        <v>142072.0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5" t="s">
        <v>12</v>
      </c>
      <c r="B177" s="5" t="s">
        <v>13</v>
      </c>
      <c r="C177" s="2" t="s">
        <v>166</v>
      </c>
      <c r="D177" s="2" t="s">
        <v>48</v>
      </c>
      <c r="E177" s="2" t="s">
        <v>14</v>
      </c>
      <c r="F177" s="6">
        <v>0.0</v>
      </c>
      <c r="G177" s="7">
        <v>1.9982111E7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5" t="s">
        <v>12</v>
      </c>
      <c r="B178" s="5" t="s">
        <v>13</v>
      </c>
      <c r="C178" s="2" t="s">
        <v>167</v>
      </c>
      <c r="D178" s="2" t="s">
        <v>48</v>
      </c>
      <c r="E178" s="2" t="s">
        <v>14</v>
      </c>
      <c r="F178" s="6">
        <v>0.0</v>
      </c>
      <c r="G178" s="7">
        <v>7233169.0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5" t="s">
        <v>12</v>
      </c>
      <c r="B179" s="5" t="s">
        <v>13</v>
      </c>
      <c r="C179" s="2" t="s">
        <v>168</v>
      </c>
      <c r="D179" s="2" t="s">
        <v>19</v>
      </c>
      <c r="E179" s="2" t="s">
        <v>49</v>
      </c>
      <c r="F179" s="6">
        <v>750000.0</v>
      </c>
      <c r="G179" s="7">
        <v>0.0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5" t="s">
        <v>12</v>
      </c>
      <c r="B180" s="5" t="s">
        <v>13</v>
      </c>
      <c r="C180" s="2" t="s">
        <v>169</v>
      </c>
      <c r="D180" s="2" t="s">
        <v>16</v>
      </c>
      <c r="E180" s="2" t="s">
        <v>49</v>
      </c>
      <c r="F180" s="6">
        <v>200000.0</v>
      </c>
      <c r="G180" s="7">
        <v>0.0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" t="s">
        <v>7</v>
      </c>
      <c r="B181" s="5" t="s">
        <v>13</v>
      </c>
      <c r="C181" s="2" t="s">
        <v>170</v>
      </c>
      <c r="D181" s="2" t="s">
        <v>16</v>
      </c>
      <c r="E181" s="2" t="s">
        <v>14</v>
      </c>
      <c r="F181" s="6">
        <v>0.0</v>
      </c>
      <c r="G181" s="7">
        <v>0.0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5" t="s">
        <v>12</v>
      </c>
      <c r="B182" s="5" t="s">
        <v>13</v>
      </c>
      <c r="C182" s="2" t="s">
        <v>170</v>
      </c>
      <c r="D182" s="2" t="s">
        <v>16</v>
      </c>
      <c r="E182" s="2" t="s">
        <v>49</v>
      </c>
      <c r="F182" s="6">
        <v>100000.0</v>
      </c>
      <c r="G182" s="7">
        <v>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5" t="s">
        <v>12</v>
      </c>
      <c r="B183" s="5" t="s">
        <v>13</v>
      </c>
      <c r="C183" s="2" t="s">
        <v>171</v>
      </c>
      <c r="D183" s="2" t="s">
        <v>16</v>
      </c>
      <c r="E183" s="2" t="s">
        <v>14</v>
      </c>
      <c r="F183" s="6">
        <v>0.0</v>
      </c>
      <c r="G183" s="7">
        <v>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5" t="s">
        <v>7</v>
      </c>
      <c r="B184" s="5" t="s">
        <v>13</v>
      </c>
      <c r="C184" s="2" t="s">
        <v>172</v>
      </c>
      <c r="D184" s="2" t="s">
        <v>83</v>
      </c>
      <c r="E184" s="2" t="s">
        <v>173</v>
      </c>
      <c r="F184" s="6">
        <v>8800000.0</v>
      </c>
      <c r="G184" s="7">
        <v>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5" t="s">
        <v>12</v>
      </c>
      <c r="B185" s="5" t="s">
        <v>13</v>
      </c>
      <c r="C185" s="2" t="s">
        <v>172</v>
      </c>
      <c r="D185" s="2" t="s">
        <v>83</v>
      </c>
      <c r="E185" s="2" t="s">
        <v>11</v>
      </c>
      <c r="F185" s="6">
        <v>1.01E7</v>
      </c>
      <c r="G185" s="7">
        <v>4325780.0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5" t="s">
        <v>12</v>
      </c>
      <c r="B186" s="5" t="s">
        <v>13</v>
      </c>
      <c r="C186" s="2" t="s">
        <v>174</v>
      </c>
      <c r="D186" s="2" t="s">
        <v>83</v>
      </c>
      <c r="E186" s="2" t="s">
        <v>14</v>
      </c>
      <c r="F186" s="6">
        <v>0.0</v>
      </c>
      <c r="G186" s="7">
        <v>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5" t="s">
        <v>12</v>
      </c>
      <c r="B187" s="5" t="s">
        <v>13</v>
      </c>
      <c r="C187" s="2" t="s">
        <v>175</v>
      </c>
      <c r="D187" s="2" t="s">
        <v>16</v>
      </c>
      <c r="E187" s="2" t="s">
        <v>14</v>
      </c>
      <c r="F187" s="6">
        <v>0.0</v>
      </c>
      <c r="G187" s="7">
        <v>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5" t="s">
        <v>12</v>
      </c>
      <c r="B188" s="5" t="s">
        <v>13</v>
      </c>
      <c r="C188" s="2" t="s">
        <v>176</v>
      </c>
      <c r="D188" s="2" t="s">
        <v>16</v>
      </c>
      <c r="E188" s="2" t="s">
        <v>14</v>
      </c>
      <c r="F188" s="6">
        <v>14000.0</v>
      </c>
      <c r="G188" s="7">
        <v>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5" t="s">
        <v>12</v>
      </c>
      <c r="B189" s="5" t="s">
        <v>13</v>
      </c>
      <c r="C189" s="2" t="s">
        <v>177</v>
      </c>
      <c r="D189" s="2" t="s">
        <v>16</v>
      </c>
      <c r="E189" s="2" t="s">
        <v>14</v>
      </c>
      <c r="F189" s="6">
        <v>0.0</v>
      </c>
      <c r="G189" s="7">
        <v>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5" t="s">
        <v>12</v>
      </c>
      <c r="B190" s="5" t="s">
        <v>13</v>
      </c>
      <c r="C190" s="2" t="s">
        <v>178</v>
      </c>
      <c r="D190" s="2" t="s">
        <v>16</v>
      </c>
      <c r="E190" s="2" t="s">
        <v>14</v>
      </c>
      <c r="F190" s="6">
        <v>0.0</v>
      </c>
      <c r="G190" s="7">
        <v>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5" t="s">
        <v>12</v>
      </c>
      <c r="B191" s="5" t="s">
        <v>13</v>
      </c>
      <c r="C191" s="2" t="s">
        <v>179</v>
      </c>
      <c r="D191" s="2" t="s">
        <v>16</v>
      </c>
      <c r="E191" s="2" t="s">
        <v>14</v>
      </c>
      <c r="F191" s="6">
        <v>0.0</v>
      </c>
      <c r="G191" s="7">
        <v>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5" t="s">
        <v>12</v>
      </c>
      <c r="B192" s="5" t="s">
        <v>13</v>
      </c>
      <c r="C192" s="2" t="s">
        <v>180</v>
      </c>
      <c r="D192" s="2" t="s">
        <v>16</v>
      </c>
      <c r="E192" s="2" t="s">
        <v>14</v>
      </c>
      <c r="F192" s="6">
        <v>0.0</v>
      </c>
      <c r="G192" s="7">
        <v>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5" t="s">
        <v>12</v>
      </c>
      <c r="B193" s="5" t="s">
        <v>13</v>
      </c>
      <c r="C193" s="2" t="s">
        <v>181</v>
      </c>
      <c r="D193" s="2" t="s">
        <v>16</v>
      </c>
      <c r="E193" s="2" t="s">
        <v>11</v>
      </c>
      <c r="F193" s="6">
        <v>0.0</v>
      </c>
      <c r="G193" s="7">
        <v>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5" t="s">
        <v>12</v>
      </c>
      <c r="B194" s="5" t="s">
        <v>13</v>
      </c>
      <c r="C194" s="2" t="s">
        <v>182</v>
      </c>
      <c r="D194" s="2" t="s">
        <v>16</v>
      </c>
      <c r="E194" s="2" t="s">
        <v>14</v>
      </c>
      <c r="F194" s="6">
        <v>0.0</v>
      </c>
      <c r="G194" s="7">
        <v>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5" t="s">
        <v>7</v>
      </c>
      <c r="B195" s="5" t="s">
        <v>13</v>
      </c>
      <c r="C195" s="2" t="s">
        <v>183</v>
      </c>
      <c r="D195" s="2" t="s">
        <v>88</v>
      </c>
      <c r="E195" s="2" t="s">
        <v>23</v>
      </c>
      <c r="F195" s="6">
        <v>2700000.0</v>
      </c>
      <c r="G195" s="7">
        <v>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5" t="s">
        <v>12</v>
      </c>
      <c r="B196" s="5" t="s">
        <v>13</v>
      </c>
      <c r="C196" s="2" t="s">
        <v>183</v>
      </c>
      <c r="D196" s="2" t="s">
        <v>88</v>
      </c>
      <c r="E196" s="2" t="s">
        <v>17</v>
      </c>
      <c r="F196" s="6">
        <v>2700000.0</v>
      </c>
      <c r="G196" s="7">
        <v>2361908.0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5" t="s">
        <v>12</v>
      </c>
      <c r="B197" s="5" t="s">
        <v>13</v>
      </c>
      <c r="C197" s="2" t="s">
        <v>184</v>
      </c>
      <c r="D197" s="2" t="s">
        <v>16</v>
      </c>
      <c r="E197" s="2" t="s">
        <v>14</v>
      </c>
      <c r="F197" s="6">
        <v>0.0</v>
      </c>
      <c r="G197" s="7">
        <v>496000.0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5" t="s">
        <v>7</v>
      </c>
      <c r="B198" s="5" t="s">
        <v>13</v>
      </c>
      <c r="C198" s="2" t="s">
        <v>185</v>
      </c>
      <c r="D198" s="2" t="s">
        <v>88</v>
      </c>
      <c r="E198" s="2" t="s">
        <v>49</v>
      </c>
      <c r="F198" s="6">
        <v>0.0</v>
      </c>
      <c r="G198" s="7">
        <v>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5" t="s">
        <v>12</v>
      </c>
      <c r="B199" s="5" t="s">
        <v>13</v>
      </c>
      <c r="C199" s="2" t="s">
        <v>185</v>
      </c>
      <c r="D199" s="2" t="s">
        <v>88</v>
      </c>
      <c r="E199" s="2" t="s">
        <v>49</v>
      </c>
      <c r="F199" s="6">
        <v>500000.0</v>
      </c>
      <c r="G199" s="7">
        <v>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5" t="s">
        <v>7</v>
      </c>
      <c r="B200" s="5" t="s">
        <v>8</v>
      </c>
      <c r="C200" s="2" t="s">
        <v>186</v>
      </c>
      <c r="D200" s="2" t="s">
        <v>10</v>
      </c>
      <c r="E200" s="2" t="s">
        <v>187</v>
      </c>
      <c r="F200" s="6">
        <v>500000.0</v>
      </c>
      <c r="G200" s="7">
        <v>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5" t="s">
        <v>12</v>
      </c>
      <c r="B201" s="5" t="s">
        <v>13</v>
      </c>
      <c r="C201" s="2" t="s">
        <v>186</v>
      </c>
      <c r="D201" s="2" t="s">
        <v>10</v>
      </c>
      <c r="E201" s="2" t="s">
        <v>14</v>
      </c>
      <c r="F201" s="6">
        <v>1904000.0</v>
      </c>
      <c r="G201" s="7">
        <v>12.0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" t="s">
        <v>12</v>
      </c>
      <c r="B202" s="5" t="s">
        <v>8</v>
      </c>
      <c r="C202" s="2" t="s">
        <v>186</v>
      </c>
      <c r="D202" s="2" t="s">
        <v>10</v>
      </c>
      <c r="E202" s="2" t="s">
        <v>187</v>
      </c>
      <c r="F202" s="6">
        <v>500000.0</v>
      </c>
      <c r="G202" s="7">
        <v>138686.0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5" t="s">
        <v>12</v>
      </c>
      <c r="B203" s="5" t="s">
        <v>13</v>
      </c>
      <c r="C203" s="2" t="s">
        <v>188</v>
      </c>
      <c r="D203" s="2" t="s">
        <v>16</v>
      </c>
      <c r="E203" s="2" t="s">
        <v>14</v>
      </c>
      <c r="F203" s="6">
        <v>0.0</v>
      </c>
      <c r="G203" s="7">
        <v>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5" t="s">
        <v>12</v>
      </c>
      <c r="B204" s="5" t="s">
        <v>13</v>
      </c>
      <c r="C204" s="2" t="s">
        <v>189</v>
      </c>
      <c r="D204" s="2" t="s">
        <v>32</v>
      </c>
      <c r="E204" s="2" t="s">
        <v>49</v>
      </c>
      <c r="F204" s="6">
        <v>1000000.0</v>
      </c>
      <c r="G204" s="7">
        <v>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5" t="s">
        <v>12</v>
      </c>
      <c r="B205" s="5" t="s">
        <v>13</v>
      </c>
      <c r="C205" s="2" t="s">
        <v>190</v>
      </c>
      <c r="D205" s="2" t="s">
        <v>16</v>
      </c>
      <c r="E205" s="2" t="s">
        <v>14</v>
      </c>
      <c r="F205" s="6">
        <v>0.0</v>
      </c>
      <c r="G205" s="7">
        <v>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5" t="s">
        <v>7</v>
      </c>
      <c r="B206" s="5" t="s">
        <v>13</v>
      </c>
      <c r="C206" s="2" t="s">
        <v>191</v>
      </c>
      <c r="D206" s="2" t="s">
        <v>32</v>
      </c>
      <c r="E206" s="2" t="s">
        <v>23</v>
      </c>
      <c r="F206" s="6">
        <v>330000.0</v>
      </c>
      <c r="G206" s="7">
        <v>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5" t="s">
        <v>12</v>
      </c>
      <c r="B207" s="5" t="s">
        <v>13</v>
      </c>
      <c r="C207" s="2" t="s">
        <v>191</v>
      </c>
      <c r="D207" s="2" t="s">
        <v>32</v>
      </c>
      <c r="E207" s="2" t="s">
        <v>17</v>
      </c>
      <c r="F207" s="6">
        <v>330000.0</v>
      </c>
      <c r="G207" s="7">
        <v>309964.0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5" t="s">
        <v>12</v>
      </c>
      <c r="B208" s="5" t="s">
        <v>13</v>
      </c>
      <c r="C208" s="2" t="s">
        <v>192</v>
      </c>
      <c r="D208" s="2" t="s">
        <v>16</v>
      </c>
      <c r="E208" s="2" t="s">
        <v>14</v>
      </c>
      <c r="F208" s="6">
        <v>0.0</v>
      </c>
      <c r="G208" s="7">
        <v>264958.0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5" t="s">
        <v>12</v>
      </c>
      <c r="B209" s="5" t="s">
        <v>13</v>
      </c>
      <c r="C209" s="2" t="s">
        <v>193</v>
      </c>
      <c r="D209" s="2" t="s">
        <v>16</v>
      </c>
      <c r="E209" s="2" t="s">
        <v>14</v>
      </c>
      <c r="F209" s="6">
        <v>0.0</v>
      </c>
      <c r="G209" s="7">
        <v>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5" t="s">
        <v>7</v>
      </c>
      <c r="B210" s="5" t="s">
        <v>13</v>
      </c>
      <c r="C210" s="2" t="s">
        <v>194</v>
      </c>
      <c r="D210" s="2" t="s">
        <v>32</v>
      </c>
      <c r="E210" s="2" t="s">
        <v>23</v>
      </c>
      <c r="F210" s="6">
        <v>1500000.0</v>
      </c>
      <c r="G210" s="7">
        <v>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5" t="s">
        <v>12</v>
      </c>
      <c r="B211" s="5" t="s">
        <v>13</v>
      </c>
      <c r="C211" s="2" t="s">
        <v>194</v>
      </c>
      <c r="D211" s="2" t="s">
        <v>32</v>
      </c>
      <c r="E211" s="2" t="s">
        <v>17</v>
      </c>
      <c r="F211" s="6">
        <v>1500000.0</v>
      </c>
      <c r="G211" s="7">
        <v>1455936.8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5" t="s">
        <v>12</v>
      </c>
      <c r="B212" s="5" t="s">
        <v>13</v>
      </c>
      <c r="C212" s="2" t="s">
        <v>195</v>
      </c>
      <c r="D212" s="2" t="s">
        <v>16</v>
      </c>
      <c r="E212" s="2" t="s">
        <v>14</v>
      </c>
      <c r="F212" s="6">
        <v>0.0</v>
      </c>
      <c r="G212" s="7">
        <v>-9976.0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5" t="s">
        <v>12</v>
      </c>
      <c r="B213" s="5" t="s">
        <v>13</v>
      </c>
      <c r="C213" s="2" t="s">
        <v>196</v>
      </c>
      <c r="D213" s="2" t="s">
        <v>16</v>
      </c>
      <c r="E213" s="2" t="s">
        <v>14</v>
      </c>
      <c r="F213" s="6">
        <v>0.0</v>
      </c>
      <c r="G213" s="7">
        <v>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5" t="s">
        <v>12</v>
      </c>
      <c r="B214" s="5" t="s">
        <v>13</v>
      </c>
      <c r="C214" s="2" t="s">
        <v>197</v>
      </c>
      <c r="D214" s="2" t="s">
        <v>16</v>
      </c>
      <c r="E214" s="2" t="s">
        <v>14</v>
      </c>
      <c r="F214" s="6">
        <v>0.0</v>
      </c>
      <c r="G214" s="7">
        <v>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5" t="s">
        <v>12</v>
      </c>
      <c r="B215" s="5" t="s">
        <v>13</v>
      </c>
      <c r="C215" s="2" t="s">
        <v>198</v>
      </c>
      <c r="D215" s="2" t="s">
        <v>16</v>
      </c>
      <c r="E215" s="2" t="s">
        <v>14</v>
      </c>
      <c r="F215" s="6">
        <v>0.0</v>
      </c>
      <c r="G215" s="7">
        <v>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5" t="s">
        <v>12</v>
      </c>
      <c r="B216" s="5" t="s">
        <v>8</v>
      </c>
      <c r="C216" s="2" t="s">
        <v>198</v>
      </c>
      <c r="D216" s="2" t="s">
        <v>16</v>
      </c>
      <c r="E216" s="2" t="s">
        <v>14</v>
      </c>
      <c r="F216" s="6">
        <v>0.0</v>
      </c>
      <c r="G216" s="7">
        <v>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5" t="s">
        <v>12</v>
      </c>
      <c r="B217" s="5" t="s">
        <v>13</v>
      </c>
      <c r="C217" s="2" t="s">
        <v>199</v>
      </c>
      <c r="D217" s="2" t="s">
        <v>16</v>
      </c>
      <c r="E217" s="2" t="s">
        <v>49</v>
      </c>
      <c r="F217" s="6">
        <v>0.0</v>
      </c>
      <c r="G217" s="7">
        <v>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5" t="s">
        <v>12</v>
      </c>
      <c r="B218" s="5" t="s">
        <v>13</v>
      </c>
      <c r="C218" s="2" t="s">
        <v>200</v>
      </c>
      <c r="D218" s="2" t="s">
        <v>16</v>
      </c>
      <c r="E218" s="2" t="s">
        <v>14</v>
      </c>
      <c r="F218" s="6">
        <v>0.0</v>
      </c>
      <c r="G218" s="7">
        <v>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5" t="s">
        <v>12</v>
      </c>
      <c r="B219" s="5" t="s">
        <v>13</v>
      </c>
      <c r="C219" s="2" t="s">
        <v>201</v>
      </c>
      <c r="D219" s="2" t="s">
        <v>16</v>
      </c>
      <c r="E219" s="2" t="s">
        <v>14</v>
      </c>
      <c r="F219" s="6">
        <v>0.0</v>
      </c>
      <c r="G219" s="7">
        <v>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5" t="s">
        <v>12</v>
      </c>
      <c r="B220" s="5" t="s">
        <v>13</v>
      </c>
      <c r="C220" s="2" t="s">
        <v>202</v>
      </c>
      <c r="D220" s="2" t="s">
        <v>16</v>
      </c>
      <c r="E220" s="2" t="s">
        <v>14</v>
      </c>
      <c r="F220" s="6">
        <v>0.0</v>
      </c>
      <c r="G220" s="7">
        <v>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5" t="s">
        <v>7</v>
      </c>
      <c r="B221" s="5" t="s">
        <v>13</v>
      </c>
      <c r="C221" s="2" t="s">
        <v>203</v>
      </c>
      <c r="D221" s="2" t="s">
        <v>88</v>
      </c>
      <c r="E221" s="2" t="s">
        <v>49</v>
      </c>
      <c r="F221" s="6">
        <v>0.0</v>
      </c>
      <c r="G221" s="7">
        <v>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5" t="s">
        <v>12</v>
      </c>
      <c r="B222" s="5" t="s">
        <v>13</v>
      </c>
      <c r="C222" s="2" t="s">
        <v>203</v>
      </c>
      <c r="D222" s="2" t="s">
        <v>88</v>
      </c>
      <c r="E222" s="2" t="s">
        <v>14</v>
      </c>
      <c r="F222" s="6">
        <v>0.0</v>
      </c>
      <c r="G222" s="7">
        <v>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5" t="s">
        <v>12</v>
      </c>
      <c r="B223" s="5" t="s">
        <v>13</v>
      </c>
      <c r="C223" s="2" t="s">
        <v>204</v>
      </c>
      <c r="D223" s="2" t="s">
        <v>16</v>
      </c>
      <c r="E223" s="2" t="s">
        <v>49</v>
      </c>
      <c r="F223" s="6">
        <v>178000.0</v>
      </c>
      <c r="G223" s="7">
        <v>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5" t="s">
        <v>12</v>
      </c>
      <c r="B224" s="5" t="s">
        <v>13</v>
      </c>
      <c r="C224" s="2" t="s">
        <v>205</v>
      </c>
      <c r="D224" s="2" t="s">
        <v>16</v>
      </c>
      <c r="E224" s="2" t="s">
        <v>14</v>
      </c>
      <c r="F224" s="6">
        <v>0.0</v>
      </c>
      <c r="G224" s="7">
        <v>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5" t="s">
        <v>12</v>
      </c>
      <c r="B225" s="5" t="s">
        <v>13</v>
      </c>
      <c r="C225" s="2" t="s">
        <v>206</v>
      </c>
      <c r="D225" s="2" t="s">
        <v>16</v>
      </c>
      <c r="E225" s="2" t="s">
        <v>14</v>
      </c>
      <c r="F225" s="6">
        <v>0.0</v>
      </c>
      <c r="G225" s="7">
        <v>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5" t="s">
        <v>12</v>
      </c>
      <c r="B226" s="5" t="s">
        <v>13</v>
      </c>
      <c r="C226" s="2" t="s">
        <v>207</v>
      </c>
      <c r="D226" s="2" t="s">
        <v>16</v>
      </c>
      <c r="E226" s="2" t="s">
        <v>14</v>
      </c>
      <c r="F226" s="6">
        <v>0.0</v>
      </c>
      <c r="G226" s="7">
        <v>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5" t="s">
        <v>12</v>
      </c>
      <c r="B227" s="5" t="s">
        <v>13</v>
      </c>
      <c r="C227" s="2" t="s">
        <v>208</v>
      </c>
      <c r="D227" s="2" t="s">
        <v>16</v>
      </c>
      <c r="E227" s="2" t="s">
        <v>14</v>
      </c>
      <c r="F227" s="6">
        <v>0.0</v>
      </c>
      <c r="G227" s="7">
        <v>0.0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5" t="s">
        <v>12</v>
      </c>
      <c r="B228" s="5" t="s">
        <v>13</v>
      </c>
      <c r="C228" s="2" t="s">
        <v>209</v>
      </c>
      <c r="D228" s="2" t="s">
        <v>16</v>
      </c>
      <c r="E228" s="2" t="s">
        <v>14</v>
      </c>
      <c r="F228" s="6">
        <v>0.0</v>
      </c>
      <c r="G228" s="7">
        <v>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5" t="s">
        <v>7</v>
      </c>
      <c r="B229" s="5" t="s">
        <v>13</v>
      </c>
      <c r="C229" s="2" t="s">
        <v>210</v>
      </c>
      <c r="D229" s="2" t="s">
        <v>83</v>
      </c>
      <c r="E229" s="2" t="s">
        <v>211</v>
      </c>
      <c r="F229" s="6">
        <v>3350000.0</v>
      </c>
      <c r="G229" s="7">
        <v>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5" t="s">
        <v>12</v>
      </c>
      <c r="B230" s="5" t="s">
        <v>13</v>
      </c>
      <c r="C230" s="2" t="s">
        <v>210</v>
      </c>
      <c r="D230" s="2" t="s">
        <v>83</v>
      </c>
      <c r="E230" s="2" t="s">
        <v>212</v>
      </c>
      <c r="F230" s="6">
        <v>4050000.0</v>
      </c>
      <c r="G230" s="7">
        <v>3302368.0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5" t="s">
        <v>12</v>
      </c>
      <c r="B231" s="5" t="s">
        <v>13</v>
      </c>
      <c r="C231" s="2" t="s">
        <v>213</v>
      </c>
      <c r="D231" s="2" t="s">
        <v>16</v>
      </c>
      <c r="E231" s="2" t="s">
        <v>14</v>
      </c>
      <c r="F231" s="6">
        <v>0.0</v>
      </c>
      <c r="G231" s="7">
        <v>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5" t="s">
        <v>12</v>
      </c>
      <c r="B232" s="5" t="s">
        <v>13</v>
      </c>
      <c r="C232" s="2" t="s">
        <v>214</v>
      </c>
      <c r="D232" s="2" t="s">
        <v>48</v>
      </c>
      <c r="E232" s="2" t="s">
        <v>14</v>
      </c>
      <c r="F232" s="6">
        <v>285000.0</v>
      </c>
      <c r="G232" s="7">
        <v>96760.0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5" t="s">
        <v>12</v>
      </c>
      <c r="B233" s="5" t="s">
        <v>8</v>
      </c>
      <c r="C233" s="2" t="s">
        <v>214</v>
      </c>
      <c r="D233" s="2" t="s">
        <v>48</v>
      </c>
      <c r="E233" s="2" t="s">
        <v>49</v>
      </c>
      <c r="F233" s="6">
        <v>250000.0</v>
      </c>
      <c r="G233" s="7">
        <v>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5" t="s">
        <v>12</v>
      </c>
      <c r="B234" s="5" t="s">
        <v>13</v>
      </c>
      <c r="C234" s="2" t="s">
        <v>215</v>
      </c>
      <c r="D234" s="2" t="s">
        <v>16</v>
      </c>
      <c r="E234" s="2" t="s">
        <v>14</v>
      </c>
      <c r="F234" s="6">
        <v>0.0</v>
      </c>
      <c r="G234" s="7">
        <v>880000.0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5" t="s">
        <v>12</v>
      </c>
      <c r="B235" s="5" t="s">
        <v>8</v>
      </c>
      <c r="C235" s="2" t="s">
        <v>216</v>
      </c>
      <c r="D235" s="2" t="s">
        <v>10</v>
      </c>
      <c r="E235" s="2" t="s">
        <v>49</v>
      </c>
      <c r="F235" s="6">
        <v>150000.0</v>
      </c>
      <c r="G235" s="7">
        <v>32042.0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5" t="s">
        <v>12</v>
      </c>
      <c r="B236" s="5" t="s">
        <v>13</v>
      </c>
      <c r="C236" s="2" t="s">
        <v>216</v>
      </c>
      <c r="D236" s="2" t="s">
        <v>10</v>
      </c>
      <c r="E236" s="2" t="s">
        <v>14</v>
      </c>
      <c r="F236" s="6">
        <v>90000.0</v>
      </c>
      <c r="G236" s="7">
        <v>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5" t="s">
        <v>12</v>
      </c>
      <c r="B237" s="5" t="s">
        <v>13</v>
      </c>
      <c r="C237" s="2" t="s">
        <v>217</v>
      </c>
      <c r="D237" s="2" t="s">
        <v>19</v>
      </c>
      <c r="E237" s="2" t="s">
        <v>17</v>
      </c>
      <c r="F237" s="6">
        <v>1000000.0</v>
      </c>
      <c r="G237" s="7">
        <v>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5" t="s">
        <v>12</v>
      </c>
      <c r="B238" s="5" t="s">
        <v>13</v>
      </c>
      <c r="C238" s="2" t="s">
        <v>218</v>
      </c>
      <c r="D238" s="2" t="s">
        <v>16</v>
      </c>
      <c r="E238" s="2" t="s">
        <v>14</v>
      </c>
      <c r="F238" s="6">
        <v>0.0</v>
      </c>
      <c r="G238" s="7">
        <v>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5" t="s">
        <v>12</v>
      </c>
      <c r="B239" s="5" t="s">
        <v>13</v>
      </c>
      <c r="C239" s="2" t="s">
        <v>219</v>
      </c>
      <c r="D239" s="2" t="s">
        <v>16</v>
      </c>
      <c r="E239" s="2" t="s">
        <v>74</v>
      </c>
      <c r="F239" s="6">
        <v>0.0</v>
      </c>
      <c r="G239" s="7">
        <v>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5" t="s">
        <v>12</v>
      </c>
      <c r="B240" s="5" t="s">
        <v>13</v>
      </c>
      <c r="C240" s="2" t="s">
        <v>220</v>
      </c>
      <c r="D240" s="2" t="s">
        <v>16</v>
      </c>
      <c r="E240" s="2" t="s">
        <v>14</v>
      </c>
      <c r="F240" s="6">
        <v>0.0</v>
      </c>
      <c r="G240" s="7">
        <v>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5" t="s">
        <v>12</v>
      </c>
      <c r="B241" s="5" t="s">
        <v>13</v>
      </c>
      <c r="C241" s="2" t="s">
        <v>221</v>
      </c>
      <c r="D241" s="2" t="s">
        <v>48</v>
      </c>
      <c r="E241" s="2" t="s">
        <v>14</v>
      </c>
      <c r="F241" s="6">
        <v>0.0</v>
      </c>
      <c r="G241" s="7">
        <v>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5" t="s">
        <v>7</v>
      </c>
      <c r="B242" s="5" t="s">
        <v>13</v>
      </c>
      <c r="C242" s="2" t="s">
        <v>222</v>
      </c>
      <c r="D242" s="2" t="s">
        <v>37</v>
      </c>
      <c r="E242" s="2" t="s">
        <v>223</v>
      </c>
      <c r="F242" s="6">
        <v>1.37E7</v>
      </c>
      <c r="G242" s="7">
        <v>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5" t="s">
        <v>12</v>
      </c>
      <c r="B243" s="5" t="s">
        <v>13</v>
      </c>
      <c r="C243" s="2" t="s">
        <v>222</v>
      </c>
      <c r="D243" s="2" t="s">
        <v>37</v>
      </c>
      <c r="E243" s="2" t="s">
        <v>96</v>
      </c>
      <c r="F243" s="6">
        <v>1.45E7</v>
      </c>
      <c r="G243" s="7">
        <v>9177901.0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5" t="s">
        <v>12</v>
      </c>
      <c r="B244" s="5" t="s">
        <v>13</v>
      </c>
      <c r="C244" s="2" t="s">
        <v>224</v>
      </c>
      <c r="D244" s="2" t="s">
        <v>37</v>
      </c>
      <c r="E244" s="2" t="s">
        <v>14</v>
      </c>
      <c r="F244" s="6">
        <v>0.0</v>
      </c>
      <c r="G244" s="7">
        <v>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5" t="s">
        <v>7</v>
      </c>
      <c r="B245" s="5" t="s">
        <v>13</v>
      </c>
      <c r="C245" s="2" t="s">
        <v>225</v>
      </c>
      <c r="D245" s="2" t="s">
        <v>37</v>
      </c>
      <c r="E245" s="2" t="s">
        <v>17</v>
      </c>
      <c r="F245" s="6">
        <v>100000.0</v>
      </c>
      <c r="G245" s="7">
        <v>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5" t="s">
        <v>12</v>
      </c>
      <c r="B246" s="5" t="s">
        <v>13</v>
      </c>
      <c r="C246" s="2" t="s">
        <v>225</v>
      </c>
      <c r="D246" s="2" t="s">
        <v>37</v>
      </c>
      <c r="E246" s="2" t="s">
        <v>96</v>
      </c>
      <c r="F246" s="6">
        <v>1000000.0</v>
      </c>
      <c r="G246" s="7">
        <v>454448.0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5" t="s">
        <v>12</v>
      </c>
      <c r="B247" s="5" t="s">
        <v>13</v>
      </c>
      <c r="C247" s="2" t="s">
        <v>226</v>
      </c>
      <c r="D247" s="2" t="s">
        <v>16</v>
      </c>
      <c r="E247" s="2" t="s">
        <v>14</v>
      </c>
      <c r="F247" s="6">
        <v>0.0</v>
      </c>
      <c r="G247" s="7">
        <v>1573336.0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5" t="s">
        <v>12</v>
      </c>
      <c r="B248" s="5" t="s">
        <v>13</v>
      </c>
      <c r="C248" s="2" t="s">
        <v>227</v>
      </c>
      <c r="D248" s="2" t="s">
        <v>16</v>
      </c>
      <c r="E248" s="2" t="s">
        <v>14</v>
      </c>
      <c r="F248" s="6">
        <v>0.0</v>
      </c>
      <c r="G248" s="7">
        <v>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5" t="s">
        <v>12</v>
      </c>
      <c r="B249" s="5" t="s">
        <v>13</v>
      </c>
      <c r="C249" s="2" t="s">
        <v>228</v>
      </c>
      <c r="D249" s="2" t="s">
        <v>16</v>
      </c>
      <c r="E249" s="2" t="s">
        <v>17</v>
      </c>
      <c r="F249" s="6">
        <v>0.0</v>
      </c>
      <c r="G249" s="7">
        <v>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5" t="s">
        <v>12</v>
      </c>
      <c r="B250" s="5" t="s">
        <v>8</v>
      </c>
      <c r="C250" s="2" t="s">
        <v>229</v>
      </c>
      <c r="D250" s="2" t="s">
        <v>16</v>
      </c>
      <c r="E250" s="2" t="s">
        <v>11</v>
      </c>
      <c r="F250" s="6">
        <v>300000.0</v>
      </c>
      <c r="G250" s="7">
        <v>382202.0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5" t="s">
        <v>12</v>
      </c>
      <c r="B251" s="5" t="s">
        <v>13</v>
      </c>
      <c r="C251" s="2" t="s">
        <v>229</v>
      </c>
      <c r="D251" s="2" t="s">
        <v>16</v>
      </c>
      <c r="E251" s="2" t="s">
        <v>14</v>
      </c>
      <c r="F251" s="6">
        <v>503000.0</v>
      </c>
      <c r="G251" s="7">
        <v>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5" t="s">
        <v>12</v>
      </c>
      <c r="B252" s="5" t="s">
        <v>13</v>
      </c>
      <c r="C252" s="2" t="s">
        <v>230</v>
      </c>
      <c r="D252" s="2" t="s">
        <v>16</v>
      </c>
      <c r="E252" s="2" t="s">
        <v>14</v>
      </c>
      <c r="F252" s="6">
        <v>0.0</v>
      </c>
      <c r="G252" s="7">
        <v>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5" t="s">
        <v>7</v>
      </c>
      <c r="B253" s="5" t="s">
        <v>13</v>
      </c>
      <c r="C253" s="2" t="s">
        <v>231</v>
      </c>
      <c r="D253" s="2" t="s">
        <v>19</v>
      </c>
      <c r="E253" s="2" t="s">
        <v>17</v>
      </c>
      <c r="F253" s="6">
        <v>100000.0</v>
      </c>
      <c r="G253" s="7">
        <v>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5" t="s">
        <v>12</v>
      </c>
      <c r="B254" s="5" t="s">
        <v>13</v>
      </c>
      <c r="C254" s="2" t="s">
        <v>231</v>
      </c>
      <c r="D254" s="2" t="s">
        <v>19</v>
      </c>
      <c r="E254" s="2" t="s">
        <v>17</v>
      </c>
      <c r="F254" s="6">
        <v>1500000.0</v>
      </c>
      <c r="G254" s="7">
        <v>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5" t="s">
        <v>12</v>
      </c>
      <c r="B255" s="5" t="s">
        <v>13</v>
      </c>
      <c r="C255" s="2" t="s">
        <v>232</v>
      </c>
      <c r="D255" s="2" t="s">
        <v>16</v>
      </c>
      <c r="E255" s="2" t="s">
        <v>14</v>
      </c>
      <c r="F255" s="6">
        <v>600000.0</v>
      </c>
      <c r="G255" s="7">
        <v>-277300.0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5" t="s">
        <v>12</v>
      </c>
      <c r="B256" s="5" t="s">
        <v>13</v>
      </c>
      <c r="C256" s="2" t="s">
        <v>233</v>
      </c>
      <c r="D256" s="2" t="s">
        <v>16</v>
      </c>
      <c r="E256" s="2" t="s">
        <v>14</v>
      </c>
      <c r="F256" s="6">
        <v>0.0</v>
      </c>
      <c r="G256" s="7">
        <v>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5" t="s">
        <v>12</v>
      </c>
      <c r="B257" s="5" t="s">
        <v>13</v>
      </c>
      <c r="C257" s="2" t="s">
        <v>234</v>
      </c>
      <c r="D257" s="2" t="s">
        <v>16</v>
      </c>
      <c r="E257" s="2" t="s">
        <v>14</v>
      </c>
      <c r="F257" s="6">
        <v>0.0</v>
      </c>
      <c r="G257" s="7">
        <v>-21000.0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5" t="s">
        <v>12</v>
      </c>
      <c r="B258" s="5" t="s">
        <v>13</v>
      </c>
      <c r="C258" s="2" t="s">
        <v>235</v>
      </c>
      <c r="D258" s="2" t="s">
        <v>16</v>
      </c>
      <c r="E258" s="2" t="s">
        <v>14</v>
      </c>
      <c r="F258" s="6">
        <v>0.0</v>
      </c>
      <c r="G258" s="7">
        <v>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5" t="s">
        <v>7</v>
      </c>
      <c r="B259" s="5" t="s">
        <v>13</v>
      </c>
      <c r="C259" s="2" t="s">
        <v>236</v>
      </c>
      <c r="D259" s="2" t="s">
        <v>88</v>
      </c>
      <c r="E259" s="2" t="s">
        <v>23</v>
      </c>
      <c r="F259" s="6">
        <v>1500000.0</v>
      </c>
      <c r="G259" s="7">
        <v>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5" t="s">
        <v>12</v>
      </c>
      <c r="B260" s="5" t="s">
        <v>13</v>
      </c>
      <c r="C260" s="2" t="s">
        <v>236</v>
      </c>
      <c r="D260" s="2" t="s">
        <v>88</v>
      </c>
      <c r="E260" s="2" t="s">
        <v>17</v>
      </c>
      <c r="F260" s="6">
        <v>1500000.0</v>
      </c>
      <c r="G260" s="7">
        <v>704317.0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5" t="s">
        <v>12</v>
      </c>
      <c r="B261" s="5" t="s">
        <v>13</v>
      </c>
      <c r="C261" s="2" t="s">
        <v>237</v>
      </c>
      <c r="D261" s="2" t="s">
        <v>16</v>
      </c>
      <c r="E261" s="2" t="s">
        <v>14</v>
      </c>
      <c r="F261" s="6">
        <v>0.0</v>
      </c>
      <c r="G261" s="7">
        <v>0.0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5" t="s">
        <v>12</v>
      </c>
      <c r="B262" s="5" t="s">
        <v>13</v>
      </c>
      <c r="C262" s="2" t="s">
        <v>238</v>
      </c>
      <c r="D262" s="2" t="s">
        <v>16</v>
      </c>
      <c r="E262" s="2" t="s">
        <v>14</v>
      </c>
      <c r="F262" s="6">
        <v>0.0</v>
      </c>
      <c r="G262" s="7">
        <v>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5" t="s">
        <v>12</v>
      </c>
      <c r="B263" s="5" t="s">
        <v>13</v>
      </c>
      <c r="C263" s="2" t="s">
        <v>26</v>
      </c>
      <c r="D263" s="2" t="s">
        <v>16</v>
      </c>
      <c r="E263" s="2" t="s">
        <v>14</v>
      </c>
      <c r="F263" s="6">
        <v>0.0</v>
      </c>
      <c r="G263" s="7">
        <v>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5" t="s">
        <v>12</v>
      </c>
      <c r="B264" s="5" t="s">
        <v>13</v>
      </c>
      <c r="C264" s="2" t="s">
        <v>239</v>
      </c>
      <c r="D264" s="2" t="s">
        <v>16</v>
      </c>
      <c r="E264" s="2" t="s">
        <v>14</v>
      </c>
      <c r="F264" s="6">
        <v>0.0</v>
      </c>
      <c r="G264" s="7">
        <v>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5" t="s">
        <v>12</v>
      </c>
      <c r="B265" s="5" t="s">
        <v>13</v>
      </c>
      <c r="C265" s="2" t="s">
        <v>240</v>
      </c>
      <c r="D265" s="2" t="s">
        <v>16</v>
      </c>
      <c r="E265" s="2" t="s">
        <v>14</v>
      </c>
      <c r="F265" s="6">
        <v>25000.0</v>
      </c>
      <c r="G265" s="7">
        <v>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5" t="s">
        <v>12</v>
      </c>
      <c r="B266" s="5" t="s">
        <v>13</v>
      </c>
      <c r="C266" s="2" t="s">
        <v>241</v>
      </c>
      <c r="D266" s="2" t="s">
        <v>16</v>
      </c>
      <c r="E266" s="2" t="s">
        <v>14</v>
      </c>
      <c r="F266" s="6">
        <v>0.0</v>
      </c>
      <c r="G266" s="7">
        <v>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5" t="s">
        <v>12</v>
      </c>
      <c r="B267" s="5" t="s">
        <v>13</v>
      </c>
      <c r="C267" s="2" t="s">
        <v>242</v>
      </c>
      <c r="D267" s="2" t="s">
        <v>16</v>
      </c>
      <c r="E267" s="2" t="s">
        <v>14</v>
      </c>
      <c r="F267" s="6">
        <v>0.0</v>
      </c>
      <c r="G267" s="7">
        <v>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5" t="s">
        <v>12</v>
      </c>
      <c r="B268" s="5" t="s">
        <v>13</v>
      </c>
      <c r="C268" s="2" t="s">
        <v>243</v>
      </c>
      <c r="D268" s="2" t="s">
        <v>16</v>
      </c>
      <c r="E268" s="2" t="s">
        <v>74</v>
      </c>
      <c r="F268" s="6">
        <v>0.0</v>
      </c>
      <c r="G268" s="7">
        <v>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5" t="s">
        <v>12</v>
      </c>
      <c r="B269" s="5" t="s">
        <v>13</v>
      </c>
      <c r="C269" s="2" t="s">
        <v>244</v>
      </c>
      <c r="D269" s="2" t="s">
        <v>16</v>
      </c>
      <c r="E269" s="2" t="s">
        <v>14</v>
      </c>
      <c r="F269" s="6">
        <v>0.0</v>
      </c>
      <c r="G269" s="7">
        <v>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5" t="s">
        <v>12</v>
      </c>
      <c r="B270" s="5" t="s">
        <v>13</v>
      </c>
      <c r="C270" s="2" t="s">
        <v>245</v>
      </c>
      <c r="D270" s="2" t="s">
        <v>16</v>
      </c>
      <c r="E270" s="2" t="s">
        <v>14</v>
      </c>
      <c r="F270" s="6">
        <v>0.0</v>
      </c>
      <c r="G270" s="7">
        <v>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5" t="s">
        <v>7</v>
      </c>
      <c r="B271" s="5" t="s">
        <v>8</v>
      </c>
      <c r="C271" s="2" t="s">
        <v>246</v>
      </c>
      <c r="D271" s="2" t="s">
        <v>48</v>
      </c>
      <c r="E271" s="2" t="s">
        <v>11</v>
      </c>
      <c r="F271" s="6">
        <v>2153000.0</v>
      </c>
      <c r="G271" s="7">
        <v>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5" t="s">
        <v>12</v>
      </c>
      <c r="B272" s="5" t="s">
        <v>8</v>
      </c>
      <c r="C272" s="2" t="s">
        <v>246</v>
      </c>
      <c r="D272" s="2" t="s">
        <v>48</v>
      </c>
      <c r="E272" s="2" t="s">
        <v>11</v>
      </c>
      <c r="F272" s="6">
        <v>2153000.0</v>
      </c>
      <c r="G272" s="7">
        <v>441727.0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5" t="s">
        <v>12</v>
      </c>
      <c r="B273" s="5" t="s">
        <v>13</v>
      </c>
      <c r="C273" s="2" t="s">
        <v>246</v>
      </c>
      <c r="D273" s="2" t="s">
        <v>48</v>
      </c>
      <c r="E273" s="2" t="s">
        <v>11</v>
      </c>
      <c r="F273" s="6">
        <v>850000.0</v>
      </c>
      <c r="G273" s="7">
        <v>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5" t="s">
        <v>12</v>
      </c>
      <c r="B274" s="5" t="s">
        <v>13</v>
      </c>
      <c r="C274" s="2" t="s">
        <v>247</v>
      </c>
      <c r="D274" s="2" t="s">
        <v>48</v>
      </c>
      <c r="E274" s="2" t="s">
        <v>14</v>
      </c>
      <c r="F274" s="6">
        <v>0.0</v>
      </c>
      <c r="G274" s="7">
        <v>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5" t="s">
        <v>12</v>
      </c>
      <c r="B275" s="5" t="s">
        <v>13</v>
      </c>
      <c r="C275" s="2" t="s">
        <v>248</v>
      </c>
      <c r="D275" s="2" t="s">
        <v>16</v>
      </c>
      <c r="E275" s="2" t="s">
        <v>14</v>
      </c>
      <c r="F275" s="6">
        <v>13000.0</v>
      </c>
      <c r="G275" s="7">
        <v>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5" t="s">
        <v>7</v>
      </c>
      <c r="B276" s="5" t="s">
        <v>13</v>
      </c>
      <c r="C276" s="2" t="s">
        <v>249</v>
      </c>
      <c r="D276" s="2" t="s">
        <v>16</v>
      </c>
      <c r="E276" s="2" t="s">
        <v>55</v>
      </c>
      <c r="F276" s="6">
        <v>200000.0</v>
      </c>
      <c r="G276" s="7">
        <v>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5" t="s">
        <v>12</v>
      </c>
      <c r="B277" s="5" t="s">
        <v>13</v>
      </c>
      <c r="C277" s="2" t="s">
        <v>249</v>
      </c>
      <c r="D277" s="2" t="s">
        <v>16</v>
      </c>
      <c r="E277" s="2" t="s">
        <v>55</v>
      </c>
      <c r="F277" s="6">
        <v>500000.0</v>
      </c>
      <c r="G277" s="7">
        <v>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5" t="s">
        <v>12</v>
      </c>
      <c r="B278" s="5" t="s">
        <v>13</v>
      </c>
      <c r="C278" s="2" t="s">
        <v>250</v>
      </c>
      <c r="D278" s="2" t="s">
        <v>16</v>
      </c>
      <c r="E278" s="2" t="s">
        <v>14</v>
      </c>
      <c r="F278" s="6">
        <v>0.0</v>
      </c>
      <c r="G278" s="7">
        <v>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5" t="s">
        <v>12</v>
      </c>
      <c r="B279" s="5" t="s">
        <v>13</v>
      </c>
      <c r="C279" s="2" t="s">
        <v>251</v>
      </c>
      <c r="D279" s="2" t="s">
        <v>16</v>
      </c>
      <c r="E279" s="2" t="s">
        <v>14</v>
      </c>
      <c r="F279" s="6">
        <v>0.0</v>
      </c>
      <c r="G279" s="7">
        <v>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5" t="s">
        <v>12</v>
      </c>
      <c r="B280" s="5" t="s">
        <v>13</v>
      </c>
      <c r="C280" s="2" t="s">
        <v>252</v>
      </c>
      <c r="D280" s="2" t="s">
        <v>16</v>
      </c>
      <c r="E280" s="2" t="s">
        <v>14</v>
      </c>
      <c r="F280" s="6">
        <v>0.0</v>
      </c>
      <c r="G280" s="7">
        <v>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5" t="s">
        <v>7</v>
      </c>
      <c r="B281" s="5" t="s">
        <v>13</v>
      </c>
      <c r="C281" s="2" t="s">
        <v>253</v>
      </c>
      <c r="D281" s="2" t="s">
        <v>16</v>
      </c>
      <c r="E281" s="2" t="s">
        <v>14</v>
      </c>
      <c r="F281" s="6">
        <v>0.0</v>
      </c>
      <c r="G281" s="7">
        <v>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5" t="s">
        <v>12</v>
      </c>
      <c r="B282" s="5" t="s">
        <v>13</v>
      </c>
      <c r="C282" s="2" t="s">
        <v>254</v>
      </c>
      <c r="D282" s="2" t="s">
        <v>48</v>
      </c>
      <c r="E282" s="2" t="s">
        <v>14</v>
      </c>
      <c r="F282" s="6">
        <v>0.0</v>
      </c>
      <c r="G282" s="7">
        <v>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5" t="s">
        <v>7</v>
      </c>
      <c r="B283" s="5" t="s">
        <v>13</v>
      </c>
      <c r="C283" s="2" t="s">
        <v>255</v>
      </c>
      <c r="D283" s="2" t="s">
        <v>16</v>
      </c>
      <c r="E283" s="2" t="s">
        <v>14</v>
      </c>
      <c r="F283" s="6">
        <v>0.0</v>
      </c>
      <c r="G283" s="7">
        <v>-200000.0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5" t="s">
        <v>12</v>
      </c>
      <c r="B284" s="5" t="s">
        <v>13</v>
      </c>
      <c r="C284" s="2" t="s">
        <v>256</v>
      </c>
      <c r="D284" s="2" t="s">
        <v>16</v>
      </c>
      <c r="E284" s="2" t="s">
        <v>14</v>
      </c>
      <c r="F284" s="6">
        <v>0.0</v>
      </c>
      <c r="G284" s="7">
        <v>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5" t="s">
        <v>12</v>
      </c>
      <c r="B285" s="5" t="s">
        <v>13</v>
      </c>
      <c r="C285" s="2" t="s">
        <v>257</v>
      </c>
      <c r="D285" s="2" t="s">
        <v>16</v>
      </c>
      <c r="E285" s="2" t="s">
        <v>14</v>
      </c>
      <c r="F285" s="6">
        <v>0.0</v>
      </c>
      <c r="G285" s="7">
        <v>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5" t="s">
        <v>12</v>
      </c>
      <c r="B286" s="5" t="s">
        <v>13</v>
      </c>
      <c r="C286" s="2" t="s">
        <v>258</v>
      </c>
      <c r="D286" s="2" t="s">
        <v>16</v>
      </c>
      <c r="E286" s="2" t="s">
        <v>14</v>
      </c>
      <c r="F286" s="6">
        <v>31000.0</v>
      </c>
      <c r="G286" s="7">
        <v>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5" t="s">
        <v>12</v>
      </c>
      <c r="B287" s="5" t="s">
        <v>13</v>
      </c>
      <c r="C287" s="2" t="s">
        <v>259</v>
      </c>
      <c r="D287" s="2" t="s">
        <v>16</v>
      </c>
      <c r="E287" s="2" t="s">
        <v>14</v>
      </c>
      <c r="F287" s="6">
        <v>200000.0</v>
      </c>
      <c r="G287" s="7">
        <v>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5" t="s">
        <v>12</v>
      </c>
      <c r="B288" s="5" t="s">
        <v>13</v>
      </c>
      <c r="C288" s="2" t="s">
        <v>260</v>
      </c>
      <c r="D288" s="2" t="s">
        <v>16</v>
      </c>
      <c r="E288" s="2" t="s">
        <v>14</v>
      </c>
      <c r="F288" s="6">
        <v>0.0</v>
      </c>
      <c r="G288" s="7">
        <v>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5" t="s">
        <v>12</v>
      </c>
      <c r="B289" s="5" t="s">
        <v>13</v>
      </c>
      <c r="C289" s="2" t="s">
        <v>261</v>
      </c>
      <c r="D289" s="2" t="s">
        <v>16</v>
      </c>
      <c r="E289" s="2" t="s">
        <v>17</v>
      </c>
      <c r="F289" s="6">
        <v>1250000.0</v>
      </c>
      <c r="G289" s="7">
        <v>0.0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5" t="s">
        <v>12</v>
      </c>
      <c r="B290" s="5" t="s">
        <v>13</v>
      </c>
      <c r="C290" s="2" t="s">
        <v>262</v>
      </c>
      <c r="D290" s="2" t="s">
        <v>26</v>
      </c>
      <c r="E290" s="2" t="s">
        <v>14</v>
      </c>
      <c r="F290" s="6">
        <v>15000.0</v>
      </c>
      <c r="G290" s="7">
        <v>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5" t="s">
        <v>7</v>
      </c>
      <c r="B291" s="5" t="s">
        <v>8</v>
      </c>
      <c r="C291" s="2" t="s">
        <v>263</v>
      </c>
      <c r="D291" s="2" t="s">
        <v>10</v>
      </c>
      <c r="E291" s="2" t="s">
        <v>14</v>
      </c>
      <c r="F291" s="6">
        <v>0.0</v>
      </c>
      <c r="G291" s="7">
        <v>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5" t="s">
        <v>7</v>
      </c>
      <c r="B292" s="5" t="s">
        <v>13</v>
      </c>
      <c r="C292" s="2" t="s">
        <v>263</v>
      </c>
      <c r="D292" s="2" t="s">
        <v>10</v>
      </c>
      <c r="E292" s="2" t="s">
        <v>14</v>
      </c>
      <c r="F292" s="6">
        <v>0.0</v>
      </c>
      <c r="G292" s="7">
        <v>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5" t="s">
        <v>12</v>
      </c>
      <c r="B293" s="5" t="s">
        <v>13</v>
      </c>
      <c r="C293" s="2" t="s">
        <v>263</v>
      </c>
      <c r="D293" s="2" t="s">
        <v>10</v>
      </c>
      <c r="E293" s="2" t="s">
        <v>14</v>
      </c>
      <c r="F293" s="6">
        <v>0.0</v>
      </c>
      <c r="G293" s="7">
        <v>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5" t="s">
        <v>12</v>
      </c>
      <c r="B294" s="5" t="s">
        <v>8</v>
      </c>
      <c r="C294" s="2" t="s">
        <v>263</v>
      </c>
      <c r="D294" s="2" t="s">
        <v>10</v>
      </c>
      <c r="E294" s="2" t="s">
        <v>17</v>
      </c>
      <c r="F294" s="6">
        <v>1811000.0</v>
      </c>
      <c r="G294" s="7">
        <v>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5" t="s">
        <v>12</v>
      </c>
      <c r="B295" s="5" t="s">
        <v>13</v>
      </c>
      <c r="C295" s="2" t="s">
        <v>264</v>
      </c>
      <c r="D295" s="2" t="s">
        <v>10</v>
      </c>
      <c r="E295" s="2" t="s">
        <v>14</v>
      </c>
      <c r="F295" s="6">
        <v>654000.0</v>
      </c>
      <c r="G295" s="7">
        <v>-102000.0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5" t="s">
        <v>12</v>
      </c>
      <c r="B296" s="5" t="s">
        <v>13</v>
      </c>
      <c r="C296" s="2" t="s">
        <v>265</v>
      </c>
      <c r="D296" s="2" t="s">
        <v>16</v>
      </c>
      <c r="E296" s="2" t="s">
        <v>11</v>
      </c>
      <c r="F296" s="6">
        <v>500000.0</v>
      </c>
      <c r="G296" s="7">
        <v>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5" t="s">
        <v>12</v>
      </c>
      <c r="B297" s="5" t="s">
        <v>13</v>
      </c>
      <c r="C297" s="2" t="s">
        <v>266</v>
      </c>
      <c r="D297" s="2" t="s">
        <v>16</v>
      </c>
      <c r="E297" s="2" t="s">
        <v>14</v>
      </c>
      <c r="F297" s="6">
        <v>0.0</v>
      </c>
      <c r="G297" s="7">
        <v>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5" t="s">
        <v>12</v>
      </c>
      <c r="B298" s="5" t="s">
        <v>13</v>
      </c>
      <c r="C298" s="2" t="s">
        <v>267</v>
      </c>
      <c r="D298" s="2" t="s">
        <v>16</v>
      </c>
      <c r="E298" s="2" t="s">
        <v>14</v>
      </c>
      <c r="F298" s="6">
        <v>0.0</v>
      </c>
      <c r="G298" s="7">
        <v>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5" t="s">
        <v>12</v>
      </c>
      <c r="B299" s="5" t="s">
        <v>13</v>
      </c>
      <c r="C299" s="2" t="s">
        <v>268</v>
      </c>
      <c r="D299" s="2" t="s">
        <v>16</v>
      </c>
      <c r="E299" s="2" t="s">
        <v>14</v>
      </c>
      <c r="F299" s="6">
        <v>0.0</v>
      </c>
      <c r="G299" s="7">
        <v>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5" t="s">
        <v>12</v>
      </c>
      <c r="B300" s="5" t="s">
        <v>13</v>
      </c>
      <c r="C300" s="2" t="s">
        <v>269</v>
      </c>
      <c r="D300" s="2" t="s">
        <v>16</v>
      </c>
      <c r="E300" s="2" t="s">
        <v>49</v>
      </c>
      <c r="F300" s="6">
        <v>1000000.0</v>
      </c>
      <c r="G300" s="7">
        <v>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5" t="s">
        <v>12</v>
      </c>
      <c r="B301" s="5" t="s">
        <v>13</v>
      </c>
      <c r="C301" s="2" t="s">
        <v>270</v>
      </c>
      <c r="D301" s="2" t="s">
        <v>16</v>
      </c>
      <c r="E301" s="2" t="s">
        <v>14</v>
      </c>
      <c r="F301" s="6">
        <v>0.0</v>
      </c>
      <c r="G301" s="7">
        <v>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5" t="s">
        <v>12</v>
      </c>
      <c r="B302" s="5" t="s">
        <v>13</v>
      </c>
      <c r="C302" s="2" t="s">
        <v>271</v>
      </c>
      <c r="D302" s="2" t="s">
        <v>16</v>
      </c>
      <c r="E302" s="2" t="s">
        <v>14</v>
      </c>
      <c r="F302" s="6">
        <v>0.0</v>
      </c>
      <c r="G302" s="7">
        <v>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5" t="s">
        <v>12</v>
      </c>
      <c r="B303" s="5" t="s">
        <v>13</v>
      </c>
      <c r="C303" s="2" t="s">
        <v>272</v>
      </c>
      <c r="D303" s="2" t="s">
        <v>16</v>
      </c>
      <c r="E303" s="2" t="s">
        <v>14</v>
      </c>
      <c r="F303" s="6">
        <v>0.0</v>
      </c>
      <c r="G303" s="7">
        <v>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5" t="s">
        <v>12</v>
      </c>
      <c r="B304" s="5" t="s">
        <v>13</v>
      </c>
      <c r="C304" s="2" t="s">
        <v>273</v>
      </c>
      <c r="D304" s="2" t="s">
        <v>16</v>
      </c>
      <c r="E304" s="2" t="s">
        <v>14</v>
      </c>
      <c r="F304" s="6">
        <v>0.0</v>
      </c>
      <c r="G304" s="7">
        <v>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5" t="s">
        <v>12</v>
      </c>
      <c r="B305" s="5" t="s">
        <v>13</v>
      </c>
      <c r="C305" s="2" t="s">
        <v>274</v>
      </c>
      <c r="D305" s="2" t="s">
        <v>32</v>
      </c>
      <c r="E305" s="2" t="s">
        <v>96</v>
      </c>
      <c r="F305" s="6">
        <v>850000.0</v>
      </c>
      <c r="G305" s="7">
        <v>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5" t="s">
        <v>12</v>
      </c>
      <c r="B306" s="5" t="s">
        <v>13</v>
      </c>
      <c r="C306" s="2" t="s">
        <v>275</v>
      </c>
      <c r="D306" s="2" t="s">
        <v>32</v>
      </c>
      <c r="E306" s="2" t="s">
        <v>49</v>
      </c>
      <c r="F306" s="6">
        <v>1850000.0</v>
      </c>
      <c r="G306" s="7">
        <v>476490.0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5" t="s">
        <v>7</v>
      </c>
      <c r="B307" s="5" t="s">
        <v>13</v>
      </c>
      <c r="C307" s="2" t="s">
        <v>276</v>
      </c>
      <c r="D307" s="2" t="s">
        <v>88</v>
      </c>
      <c r="E307" s="2" t="s">
        <v>14</v>
      </c>
      <c r="F307" s="6">
        <v>0.0</v>
      </c>
      <c r="G307" s="7">
        <v>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5" t="s">
        <v>12</v>
      </c>
      <c r="B308" s="5" t="s">
        <v>13</v>
      </c>
      <c r="C308" s="2" t="s">
        <v>276</v>
      </c>
      <c r="D308" s="2" t="s">
        <v>88</v>
      </c>
      <c r="E308" s="2" t="s">
        <v>14</v>
      </c>
      <c r="F308" s="6">
        <v>0.0</v>
      </c>
      <c r="G308" s="7">
        <v>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5" t="s">
        <v>12</v>
      </c>
      <c r="B309" s="5" t="s">
        <v>13</v>
      </c>
      <c r="C309" s="2" t="s">
        <v>277</v>
      </c>
      <c r="D309" s="2" t="s">
        <v>88</v>
      </c>
      <c r="E309" s="2" t="s">
        <v>14</v>
      </c>
      <c r="F309" s="6">
        <v>0.0</v>
      </c>
      <c r="G309" s="7">
        <v>-2.8262714E7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5" t="s">
        <v>12</v>
      </c>
      <c r="B310" s="5" t="s">
        <v>13</v>
      </c>
      <c r="C310" s="2" t="s">
        <v>278</v>
      </c>
      <c r="D310" s="2" t="s">
        <v>16</v>
      </c>
      <c r="E310" s="2" t="s">
        <v>14</v>
      </c>
      <c r="F310" s="6">
        <v>26000.0</v>
      </c>
      <c r="G310" s="7">
        <v>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5" t="s">
        <v>7</v>
      </c>
      <c r="B311" s="5" t="s">
        <v>13</v>
      </c>
      <c r="C311" s="2" t="s">
        <v>279</v>
      </c>
      <c r="D311" s="2" t="s">
        <v>19</v>
      </c>
      <c r="E311" s="2" t="s">
        <v>144</v>
      </c>
      <c r="F311" s="6">
        <v>830000.0</v>
      </c>
      <c r="G311" s="7">
        <v>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5" t="s">
        <v>12</v>
      </c>
      <c r="B312" s="5" t="s">
        <v>13</v>
      </c>
      <c r="C312" s="2" t="s">
        <v>279</v>
      </c>
      <c r="D312" s="2" t="s">
        <v>19</v>
      </c>
      <c r="E312" s="2" t="s">
        <v>49</v>
      </c>
      <c r="F312" s="6">
        <v>830000.0</v>
      </c>
      <c r="G312" s="7">
        <v>97551.0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5" t="s">
        <v>12</v>
      </c>
      <c r="B313" s="5" t="s">
        <v>13</v>
      </c>
      <c r="C313" s="2" t="s">
        <v>280</v>
      </c>
      <c r="D313" s="2" t="s">
        <v>16</v>
      </c>
      <c r="E313" s="2" t="s">
        <v>14</v>
      </c>
      <c r="F313" s="6">
        <v>0.0</v>
      </c>
      <c r="G313" s="7">
        <v>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5" t="s">
        <v>7</v>
      </c>
      <c r="B314" s="5" t="s">
        <v>13</v>
      </c>
      <c r="C314" s="2" t="s">
        <v>281</v>
      </c>
      <c r="D314" s="2" t="s">
        <v>32</v>
      </c>
      <c r="E314" s="2" t="s">
        <v>23</v>
      </c>
      <c r="F314" s="6">
        <v>1600000.0</v>
      </c>
      <c r="G314" s="7">
        <v>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5" t="s">
        <v>12</v>
      </c>
      <c r="B315" s="5" t="s">
        <v>13</v>
      </c>
      <c r="C315" s="2" t="s">
        <v>281</v>
      </c>
      <c r="D315" s="2" t="s">
        <v>32</v>
      </c>
      <c r="E315" s="2" t="s">
        <v>17</v>
      </c>
      <c r="F315" s="6">
        <v>1600000.0</v>
      </c>
      <c r="G315" s="7">
        <v>212144.0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5" t="s">
        <v>12</v>
      </c>
      <c r="B316" s="5" t="s">
        <v>13</v>
      </c>
      <c r="C316" s="2" t="s">
        <v>282</v>
      </c>
      <c r="D316" s="2" t="s">
        <v>16</v>
      </c>
      <c r="E316" s="2" t="s">
        <v>14</v>
      </c>
      <c r="F316" s="6">
        <v>0.0</v>
      </c>
      <c r="G316" s="7">
        <v>0.0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5" t="s">
        <v>12</v>
      </c>
      <c r="B317" s="5" t="s">
        <v>13</v>
      </c>
      <c r="C317" s="2" t="s">
        <v>283</v>
      </c>
      <c r="D317" s="2" t="s">
        <v>16</v>
      </c>
      <c r="E317" s="2" t="s">
        <v>14</v>
      </c>
      <c r="F317" s="6">
        <v>0.0</v>
      </c>
      <c r="G317" s="7">
        <v>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5" t="s">
        <v>12</v>
      </c>
      <c r="B318" s="5" t="s">
        <v>8</v>
      </c>
      <c r="C318" s="2" t="s">
        <v>284</v>
      </c>
      <c r="D318" s="2" t="s">
        <v>48</v>
      </c>
      <c r="E318" s="2" t="s">
        <v>14</v>
      </c>
      <c r="F318" s="6">
        <v>1.0</v>
      </c>
      <c r="G318" s="7">
        <v>-413.0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5" t="s">
        <v>12</v>
      </c>
      <c r="B319" s="5" t="s">
        <v>13</v>
      </c>
      <c r="C319" s="2" t="s">
        <v>285</v>
      </c>
      <c r="D319" s="2" t="s">
        <v>16</v>
      </c>
      <c r="E319" s="2" t="s">
        <v>14</v>
      </c>
      <c r="F319" s="6">
        <v>0.0</v>
      </c>
      <c r="G319" s="7">
        <v>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5" t="s">
        <v>7</v>
      </c>
      <c r="B320" s="5" t="s">
        <v>8</v>
      </c>
      <c r="C320" s="2" t="s">
        <v>286</v>
      </c>
      <c r="D320" s="2" t="s">
        <v>10</v>
      </c>
      <c r="E320" s="2" t="s">
        <v>49</v>
      </c>
      <c r="F320" s="6">
        <v>0.0</v>
      </c>
      <c r="G320" s="7">
        <v>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5" t="s">
        <v>12</v>
      </c>
      <c r="B321" s="5" t="s">
        <v>8</v>
      </c>
      <c r="C321" s="2" t="s">
        <v>286</v>
      </c>
      <c r="D321" s="2" t="s">
        <v>10</v>
      </c>
      <c r="E321" s="2" t="s">
        <v>49</v>
      </c>
      <c r="F321" s="6">
        <v>154885.0</v>
      </c>
      <c r="G321" s="7">
        <v>188333.0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5" t="s">
        <v>12</v>
      </c>
      <c r="B322" s="5" t="s">
        <v>13</v>
      </c>
      <c r="C322" s="2" t="s">
        <v>287</v>
      </c>
      <c r="D322" s="2" t="s">
        <v>16</v>
      </c>
      <c r="E322" s="2" t="s">
        <v>14</v>
      </c>
      <c r="F322" s="6">
        <v>100000.0</v>
      </c>
      <c r="G322" s="7">
        <v>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5" t="s">
        <v>7</v>
      </c>
      <c r="B323" s="5" t="s">
        <v>8</v>
      </c>
      <c r="C323" s="2" t="s">
        <v>288</v>
      </c>
      <c r="D323" s="2" t="s">
        <v>48</v>
      </c>
      <c r="E323" s="2" t="s">
        <v>14</v>
      </c>
      <c r="F323" s="6">
        <v>0.0</v>
      </c>
      <c r="G323" s="7">
        <v>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5" t="s">
        <v>7</v>
      </c>
      <c r="B324" s="5" t="s">
        <v>13</v>
      </c>
      <c r="C324" s="2" t="s">
        <v>288</v>
      </c>
      <c r="D324" s="2" t="s">
        <v>48</v>
      </c>
      <c r="E324" s="2" t="s">
        <v>14</v>
      </c>
      <c r="F324" s="6">
        <v>0.0</v>
      </c>
      <c r="G324" s="7">
        <v>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5" t="s">
        <v>12</v>
      </c>
      <c r="B325" s="5" t="s">
        <v>13</v>
      </c>
      <c r="C325" s="2" t="s">
        <v>288</v>
      </c>
      <c r="D325" s="2" t="s">
        <v>48</v>
      </c>
      <c r="E325" s="2" t="s">
        <v>14</v>
      </c>
      <c r="F325" s="6">
        <v>0.0</v>
      </c>
      <c r="G325" s="7">
        <v>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5" t="s">
        <v>12</v>
      </c>
      <c r="B326" s="5" t="s">
        <v>8</v>
      </c>
      <c r="C326" s="2" t="s">
        <v>288</v>
      </c>
      <c r="D326" s="2" t="s">
        <v>48</v>
      </c>
      <c r="E326" s="2" t="s">
        <v>49</v>
      </c>
      <c r="F326" s="6">
        <v>0.0</v>
      </c>
      <c r="G326" s="7">
        <v>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5" t="s">
        <v>12</v>
      </c>
      <c r="B327" s="5" t="s">
        <v>13</v>
      </c>
      <c r="C327" s="2" t="s">
        <v>289</v>
      </c>
      <c r="D327" s="2" t="s">
        <v>16</v>
      </c>
      <c r="E327" s="2" t="s">
        <v>14</v>
      </c>
      <c r="F327" s="6">
        <v>0.0</v>
      </c>
      <c r="G327" s="7">
        <v>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5" t="s">
        <v>12</v>
      </c>
      <c r="B328" s="5" t="s">
        <v>13</v>
      </c>
      <c r="C328" s="2" t="s">
        <v>290</v>
      </c>
      <c r="D328" s="2" t="s">
        <v>16</v>
      </c>
      <c r="E328" s="2" t="s">
        <v>14</v>
      </c>
      <c r="F328" s="6">
        <v>0.0</v>
      </c>
      <c r="G328" s="7">
        <v>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5" t="s">
        <v>7</v>
      </c>
      <c r="B329" s="5" t="s">
        <v>8</v>
      </c>
      <c r="C329" s="2" t="s">
        <v>291</v>
      </c>
      <c r="D329" s="2" t="s">
        <v>48</v>
      </c>
      <c r="E329" s="2" t="s">
        <v>11</v>
      </c>
      <c r="F329" s="6">
        <v>219873.0</v>
      </c>
      <c r="G329" s="7">
        <v>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5" t="s">
        <v>12</v>
      </c>
      <c r="B330" s="5" t="s">
        <v>8</v>
      </c>
      <c r="C330" s="2" t="s">
        <v>291</v>
      </c>
      <c r="D330" s="2" t="s">
        <v>48</v>
      </c>
      <c r="E330" s="2" t="s">
        <v>11</v>
      </c>
      <c r="F330" s="6">
        <v>1165255.0</v>
      </c>
      <c r="G330" s="7">
        <v>320960.0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5" t="s">
        <v>12</v>
      </c>
      <c r="B331" s="5" t="s">
        <v>13</v>
      </c>
      <c r="C331" s="2" t="s">
        <v>292</v>
      </c>
      <c r="D331" s="2" t="s">
        <v>16</v>
      </c>
      <c r="E331" s="2" t="s">
        <v>14</v>
      </c>
      <c r="F331" s="6">
        <v>705000.0</v>
      </c>
      <c r="G331" s="7">
        <v>3107565.0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5" t="s">
        <v>12</v>
      </c>
      <c r="B332" s="5" t="s">
        <v>13</v>
      </c>
      <c r="C332" s="2" t="s">
        <v>293</v>
      </c>
      <c r="D332" s="2" t="s">
        <v>16</v>
      </c>
      <c r="E332" s="2" t="s">
        <v>14</v>
      </c>
      <c r="F332" s="6">
        <v>0.0</v>
      </c>
      <c r="G332" s="7">
        <v>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5" t="s">
        <v>12</v>
      </c>
      <c r="B333" s="5" t="s">
        <v>13</v>
      </c>
      <c r="C333" s="2" t="s">
        <v>294</v>
      </c>
      <c r="D333" s="2" t="s">
        <v>16</v>
      </c>
      <c r="E333" s="2" t="s">
        <v>14</v>
      </c>
      <c r="F333" s="6">
        <v>0.0</v>
      </c>
      <c r="G333" s="7">
        <v>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5" t="s">
        <v>12</v>
      </c>
      <c r="B334" s="5" t="s">
        <v>13</v>
      </c>
      <c r="C334" s="2" t="s">
        <v>295</v>
      </c>
      <c r="D334" s="2" t="s">
        <v>16</v>
      </c>
      <c r="E334" s="2" t="s">
        <v>14</v>
      </c>
      <c r="F334" s="6">
        <v>0.0</v>
      </c>
      <c r="G334" s="7">
        <v>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5" t="s">
        <v>12</v>
      </c>
      <c r="B335" s="5" t="s">
        <v>13</v>
      </c>
      <c r="C335" s="2" t="s">
        <v>296</v>
      </c>
      <c r="D335" s="2" t="s">
        <v>16</v>
      </c>
      <c r="E335" s="2" t="s">
        <v>14</v>
      </c>
      <c r="F335" s="6">
        <v>0.0</v>
      </c>
      <c r="G335" s="7">
        <v>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5" t="s">
        <v>12</v>
      </c>
      <c r="B336" s="5" t="s">
        <v>13</v>
      </c>
      <c r="C336" s="2" t="s">
        <v>297</v>
      </c>
      <c r="D336" s="2" t="s">
        <v>16</v>
      </c>
      <c r="E336" s="2" t="s">
        <v>14</v>
      </c>
      <c r="F336" s="6">
        <v>66000.0</v>
      </c>
      <c r="G336" s="7">
        <v>156616.0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5" t="s">
        <v>7</v>
      </c>
      <c r="B337" s="5" t="s">
        <v>8</v>
      </c>
      <c r="C337" s="2" t="s">
        <v>298</v>
      </c>
      <c r="D337" s="2" t="s">
        <v>10</v>
      </c>
      <c r="E337" s="2" t="s">
        <v>14</v>
      </c>
      <c r="F337" s="6">
        <v>0.0</v>
      </c>
      <c r="G337" s="7">
        <v>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5" t="s">
        <v>12</v>
      </c>
      <c r="B338" s="5" t="s">
        <v>13</v>
      </c>
      <c r="C338" s="2" t="s">
        <v>298</v>
      </c>
      <c r="D338" s="2" t="s">
        <v>10</v>
      </c>
      <c r="E338" s="2" t="s">
        <v>14</v>
      </c>
      <c r="F338" s="6">
        <v>1263000.0</v>
      </c>
      <c r="G338" s="7">
        <v>8960.0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5" t="s">
        <v>12</v>
      </c>
      <c r="B339" s="5" t="s">
        <v>8</v>
      </c>
      <c r="C339" s="2" t="s">
        <v>298</v>
      </c>
      <c r="D339" s="2" t="s">
        <v>10</v>
      </c>
      <c r="E339" s="2" t="s">
        <v>14</v>
      </c>
      <c r="F339" s="6">
        <v>770000.0</v>
      </c>
      <c r="G339" s="7">
        <v>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5" t="s">
        <v>12</v>
      </c>
      <c r="B340" s="5" t="s">
        <v>13</v>
      </c>
      <c r="C340" s="2" t="s">
        <v>299</v>
      </c>
      <c r="D340" s="2" t="s">
        <v>16</v>
      </c>
      <c r="E340" s="2" t="s">
        <v>14</v>
      </c>
      <c r="F340" s="6">
        <v>0.0</v>
      </c>
      <c r="G340" s="7">
        <v>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5" t="s">
        <v>12</v>
      </c>
      <c r="B341" s="5" t="s">
        <v>13</v>
      </c>
      <c r="C341" s="2" t="s">
        <v>300</v>
      </c>
      <c r="D341" s="2" t="s">
        <v>16</v>
      </c>
      <c r="E341" s="2" t="s">
        <v>14</v>
      </c>
      <c r="F341" s="6">
        <v>0.0</v>
      </c>
      <c r="G341" s="7">
        <v>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5" t="s">
        <v>12</v>
      </c>
      <c r="B342" s="5" t="s">
        <v>13</v>
      </c>
      <c r="C342" s="2" t="s">
        <v>301</v>
      </c>
      <c r="D342" s="2" t="s">
        <v>16</v>
      </c>
      <c r="E342" s="2" t="s">
        <v>49</v>
      </c>
      <c r="F342" s="6">
        <v>0.0</v>
      </c>
      <c r="G342" s="7">
        <v>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5" t="s">
        <v>12</v>
      </c>
      <c r="B343" s="5" t="s">
        <v>13</v>
      </c>
      <c r="C343" s="2" t="s">
        <v>302</v>
      </c>
      <c r="D343" s="2" t="s">
        <v>88</v>
      </c>
      <c r="E343" s="2" t="s">
        <v>14</v>
      </c>
      <c r="F343" s="6">
        <v>1000000.0</v>
      </c>
      <c r="G343" s="7">
        <v>228390.0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5" t="s">
        <v>12</v>
      </c>
      <c r="B344" s="5" t="s">
        <v>13</v>
      </c>
      <c r="C344" s="2" t="s">
        <v>303</v>
      </c>
      <c r="D344" s="2" t="s">
        <v>88</v>
      </c>
      <c r="E344" s="2" t="s">
        <v>14</v>
      </c>
      <c r="F344" s="6">
        <v>0.0</v>
      </c>
      <c r="G344" s="7">
        <v>83322.0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5" t="s">
        <v>12</v>
      </c>
      <c r="B345" s="5" t="s">
        <v>13</v>
      </c>
      <c r="C345" s="2" t="s">
        <v>304</v>
      </c>
      <c r="D345" s="2" t="s">
        <v>16</v>
      </c>
      <c r="E345" s="2" t="s">
        <v>14</v>
      </c>
      <c r="F345" s="6">
        <v>0.0</v>
      </c>
      <c r="G345" s="7">
        <v>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5" t="s">
        <v>12</v>
      </c>
      <c r="B346" s="5" t="s">
        <v>13</v>
      </c>
      <c r="C346" s="2" t="s">
        <v>305</v>
      </c>
      <c r="D346" s="2" t="s">
        <v>16</v>
      </c>
      <c r="E346" s="2" t="s">
        <v>14</v>
      </c>
      <c r="F346" s="6">
        <v>0.0</v>
      </c>
      <c r="G346" s="7">
        <v>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5" t="s">
        <v>12</v>
      </c>
      <c r="B347" s="5" t="s">
        <v>13</v>
      </c>
      <c r="C347" s="2" t="s">
        <v>306</v>
      </c>
      <c r="D347" s="2" t="s">
        <v>16</v>
      </c>
      <c r="E347" s="2" t="s">
        <v>14</v>
      </c>
      <c r="F347" s="6">
        <v>0.0</v>
      </c>
      <c r="G347" s="7">
        <v>947000.0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5" t="s">
        <v>12</v>
      </c>
      <c r="B348" s="5" t="s">
        <v>8</v>
      </c>
      <c r="C348" s="2" t="s">
        <v>307</v>
      </c>
      <c r="D348" s="2" t="s">
        <v>48</v>
      </c>
      <c r="E348" s="2" t="s">
        <v>17</v>
      </c>
      <c r="F348" s="6">
        <v>1350000.0</v>
      </c>
      <c r="G348" s="7">
        <v>446960.0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5" t="s">
        <v>12</v>
      </c>
      <c r="B349" s="5" t="s">
        <v>13</v>
      </c>
      <c r="C349" s="2" t="s">
        <v>308</v>
      </c>
      <c r="D349" s="2" t="s">
        <v>48</v>
      </c>
      <c r="E349" s="2" t="s">
        <v>14</v>
      </c>
      <c r="F349" s="6">
        <v>0.0</v>
      </c>
      <c r="G349" s="7">
        <v>3570001.0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5" t="s">
        <v>7</v>
      </c>
      <c r="B350" s="5" t="s">
        <v>13</v>
      </c>
      <c r="C350" s="2" t="s">
        <v>309</v>
      </c>
      <c r="D350" s="2" t="s">
        <v>37</v>
      </c>
      <c r="E350" s="2" t="s">
        <v>104</v>
      </c>
      <c r="F350" s="6">
        <v>1.0E7</v>
      </c>
      <c r="G350" s="7">
        <v>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5" t="s">
        <v>12</v>
      </c>
      <c r="B351" s="5" t="s">
        <v>13</v>
      </c>
      <c r="C351" s="2" t="s">
        <v>309</v>
      </c>
      <c r="D351" s="2" t="s">
        <v>37</v>
      </c>
      <c r="E351" s="2" t="s">
        <v>49</v>
      </c>
      <c r="F351" s="6">
        <v>1.0E7</v>
      </c>
      <c r="G351" s="7">
        <v>3389556.0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5" t="s">
        <v>12</v>
      </c>
      <c r="B352" s="5" t="s">
        <v>13</v>
      </c>
      <c r="C352" s="2" t="s">
        <v>310</v>
      </c>
      <c r="D352" s="2" t="s">
        <v>16</v>
      </c>
      <c r="E352" s="2" t="s">
        <v>14</v>
      </c>
      <c r="F352" s="6">
        <v>0.0</v>
      </c>
      <c r="G352" s="7">
        <v>188873.0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5" t="s">
        <v>12</v>
      </c>
      <c r="B353" s="5" t="s">
        <v>13</v>
      </c>
      <c r="C353" s="2" t="s">
        <v>311</v>
      </c>
      <c r="D353" s="2" t="s">
        <v>16</v>
      </c>
      <c r="E353" s="2" t="s">
        <v>14</v>
      </c>
      <c r="F353" s="6">
        <v>0.0</v>
      </c>
      <c r="G353" s="7">
        <v>2430000.0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5" t="s">
        <v>12</v>
      </c>
      <c r="B354" s="5" t="s">
        <v>13</v>
      </c>
      <c r="C354" s="2" t="s">
        <v>312</v>
      </c>
      <c r="D354" s="2" t="s">
        <v>16</v>
      </c>
      <c r="E354" s="2" t="s">
        <v>14</v>
      </c>
      <c r="F354" s="6">
        <v>0.0</v>
      </c>
      <c r="G354" s="7">
        <v>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5" t="s">
        <v>12</v>
      </c>
      <c r="B355" s="5" t="s">
        <v>13</v>
      </c>
      <c r="C355" s="2" t="s">
        <v>313</v>
      </c>
      <c r="D355" s="2" t="s">
        <v>16</v>
      </c>
      <c r="E355" s="2" t="s">
        <v>14</v>
      </c>
      <c r="F355" s="6">
        <v>0.0</v>
      </c>
      <c r="G355" s="7">
        <v>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5" t="s">
        <v>7</v>
      </c>
      <c r="B356" s="5" t="s">
        <v>13</v>
      </c>
      <c r="C356" s="2" t="s">
        <v>314</v>
      </c>
      <c r="D356" s="2" t="s">
        <v>16</v>
      </c>
      <c r="E356" s="2" t="s">
        <v>49</v>
      </c>
      <c r="F356" s="6">
        <v>50000.0</v>
      </c>
      <c r="G356" s="7">
        <v>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5" t="s">
        <v>12</v>
      </c>
      <c r="B357" s="5" t="s">
        <v>13</v>
      </c>
      <c r="C357" s="2" t="s">
        <v>314</v>
      </c>
      <c r="D357" s="2" t="s">
        <v>16</v>
      </c>
      <c r="E357" s="2" t="s">
        <v>49</v>
      </c>
      <c r="F357" s="6">
        <v>124000.0</v>
      </c>
      <c r="G357" s="7">
        <v>28379.0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5" t="s">
        <v>7</v>
      </c>
      <c r="B358" s="5" t="s">
        <v>13</v>
      </c>
      <c r="C358" s="2" t="s">
        <v>315</v>
      </c>
      <c r="D358" s="2" t="s">
        <v>32</v>
      </c>
      <c r="E358" s="2" t="s">
        <v>144</v>
      </c>
      <c r="F358" s="6">
        <v>1000000.0</v>
      </c>
      <c r="G358" s="7">
        <v>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5" t="s">
        <v>12</v>
      </c>
      <c r="B359" s="5" t="s">
        <v>13</v>
      </c>
      <c r="C359" s="2" t="s">
        <v>315</v>
      </c>
      <c r="D359" s="2" t="s">
        <v>32</v>
      </c>
      <c r="E359" s="2" t="s">
        <v>49</v>
      </c>
      <c r="F359" s="6">
        <v>1000000.0</v>
      </c>
      <c r="G359" s="7">
        <v>372791.0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5" t="s">
        <v>12</v>
      </c>
      <c r="B360" s="5" t="s">
        <v>13</v>
      </c>
      <c r="C360" s="2" t="s">
        <v>316</v>
      </c>
      <c r="D360" s="2" t="s">
        <v>16</v>
      </c>
      <c r="E360" s="2" t="s">
        <v>14</v>
      </c>
      <c r="F360" s="6">
        <v>0.0</v>
      </c>
      <c r="G360" s="7">
        <v>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5" t="s">
        <v>7</v>
      </c>
      <c r="B361" s="5" t="s">
        <v>13</v>
      </c>
      <c r="C361" s="2" t="s">
        <v>317</v>
      </c>
      <c r="D361" s="2" t="s">
        <v>32</v>
      </c>
      <c r="E361" s="2" t="s">
        <v>49</v>
      </c>
      <c r="F361" s="6">
        <v>20000.0</v>
      </c>
      <c r="G361" s="7">
        <v>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5" t="s">
        <v>12</v>
      </c>
      <c r="B362" s="5" t="s">
        <v>13</v>
      </c>
      <c r="C362" s="2" t="s">
        <v>317</v>
      </c>
      <c r="D362" s="2" t="s">
        <v>32</v>
      </c>
      <c r="E362" s="2" t="s">
        <v>14</v>
      </c>
      <c r="F362" s="6">
        <v>60000.0</v>
      </c>
      <c r="G362" s="7">
        <v>0.0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5" t="s">
        <v>12</v>
      </c>
      <c r="B363" s="5" t="s">
        <v>13</v>
      </c>
      <c r="C363" s="2" t="s">
        <v>318</v>
      </c>
      <c r="D363" s="2" t="s">
        <v>32</v>
      </c>
      <c r="E363" s="2" t="s">
        <v>14</v>
      </c>
      <c r="F363" s="6">
        <v>0.0</v>
      </c>
      <c r="G363" s="7">
        <v>0.0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5" t="s">
        <v>7</v>
      </c>
      <c r="B364" s="5" t="s">
        <v>13</v>
      </c>
      <c r="C364" s="2" t="s">
        <v>319</v>
      </c>
      <c r="D364" s="2" t="s">
        <v>16</v>
      </c>
      <c r="E364" s="2" t="s">
        <v>320</v>
      </c>
      <c r="F364" s="6">
        <v>63000.0</v>
      </c>
      <c r="G364" s="7">
        <v>0.0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5" t="s">
        <v>12</v>
      </c>
      <c r="B365" s="5" t="s">
        <v>13</v>
      </c>
      <c r="C365" s="2" t="s">
        <v>319</v>
      </c>
      <c r="D365" s="2" t="s">
        <v>16</v>
      </c>
      <c r="E365" s="2" t="s">
        <v>14</v>
      </c>
      <c r="F365" s="6">
        <v>63000.0</v>
      </c>
      <c r="G365" s="7">
        <v>0.0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5" t="s">
        <v>12</v>
      </c>
      <c r="B366" s="5" t="s">
        <v>8</v>
      </c>
      <c r="C366" s="2" t="s">
        <v>321</v>
      </c>
      <c r="D366" s="2" t="s">
        <v>16</v>
      </c>
      <c r="E366" s="2" t="s">
        <v>14</v>
      </c>
      <c r="F366" s="6">
        <v>0.0</v>
      </c>
      <c r="G366" s="7">
        <v>0.0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5" t="s">
        <v>12</v>
      </c>
      <c r="B367" s="5" t="s">
        <v>13</v>
      </c>
      <c r="C367" s="2" t="s">
        <v>322</v>
      </c>
      <c r="D367" s="2" t="s">
        <v>88</v>
      </c>
      <c r="E367" s="2" t="s">
        <v>17</v>
      </c>
      <c r="F367" s="6">
        <v>550000.0</v>
      </c>
      <c r="G367" s="7">
        <v>0.0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5" t="s">
        <v>7</v>
      </c>
      <c r="B368" s="5" t="s">
        <v>13</v>
      </c>
      <c r="C368" s="2" t="s">
        <v>323</v>
      </c>
      <c r="D368" s="2" t="s">
        <v>32</v>
      </c>
      <c r="E368" s="2" t="s">
        <v>17</v>
      </c>
      <c r="F368" s="6">
        <v>100000.0</v>
      </c>
      <c r="G368" s="7">
        <v>0.0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5" t="s">
        <v>12</v>
      </c>
      <c r="B369" s="5" t="s">
        <v>13</v>
      </c>
      <c r="C369" s="2" t="s">
        <v>323</v>
      </c>
      <c r="D369" s="2" t="s">
        <v>32</v>
      </c>
      <c r="E369" s="2" t="s">
        <v>17</v>
      </c>
      <c r="F369" s="6">
        <v>2755000.0</v>
      </c>
      <c r="G369" s="7">
        <v>544590.0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5" t="s">
        <v>12</v>
      </c>
      <c r="B370" s="5" t="s">
        <v>13</v>
      </c>
      <c r="C370" s="2" t="s">
        <v>324</v>
      </c>
      <c r="D370" s="2" t="s">
        <v>16</v>
      </c>
      <c r="E370" s="2" t="s">
        <v>14</v>
      </c>
      <c r="F370" s="6">
        <v>0.0</v>
      </c>
      <c r="G370" s="7">
        <v>0.0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5" t="s">
        <v>7</v>
      </c>
      <c r="B371" s="5" t="s">
        <v>8</v>
      </c>
      <c r="C371" s="2" t="s">
        <v>325</v>
      </c>
      <c r="D371" s="2" t="s">
        <v>48</v>
      </c>
      <c r="E371" s="2" t="s">
        <v>14</v>
      </c>
      <c r="F371" s="6">
        <v>0.0</v>
      </c>
      <c r="G371" s="7">
        <v>0.0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5" t="s">
        <v>7</v>
      </c>
      <c r="B372" s="5" t="s">
        <v>13</v>
      </c>
      <c r="C372" s="2" t="s">
        <v>325</v>
      </c>
      <c r="D372" s="2" t="s">
        <v>48</v>
      </c>
      <c r="E372" s="2" t="s">
        <v>49</v>
      </c>
      <c r="F372" s="6">
        <v>3500000.0</v>
      </c>
      <c r="G372" s="7">
        <v>0.0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5" t="s">
        <v>12</v>
      </c>
      <c r="B373" s="5" t="s">
        <v>13</v>
      </c>
      <c r="C373" s="2" t="s">
        <v>325</v>
      </c>
      <c r="D373" s="2" t="s">
        <v>48</v>
      </c>
      <c r="E373" s="2" t="s">
        <v>49</v>
      </c>
      <c r="F373" s="6">
        <v>7000000.0</v>
      </c>
      <c r="G373" s="7">
        <v>2646652.0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5" t="s">
        <v>12</v>
      </c>
      <c r="B374" s="5" t="s">
        <v>8</v>
      </c>
      <c r="C374" s="2" t="s">
        <v>325</v>
      </c>
      <c r="D374" s="2" t="s">
        <v>48</v>
      </c>
      <c r="E374" s="2" t="s">
        <v>14</v>
      </c>
      <c r="F374" s="6">
        <v>2700000.0</v>
      </c>
      <c r="G374" s="7">
        <v>-1208500.0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5" t="s">
        <v>12</v>
      </c>
      <c r="B375" s="5" t="s">
        <v>13</v>
      </c>
      <c r="C375" s="2" t="s">
        <v>326</v>
      </c>
      <c r="D375" s="2" t="s">
        <v>48</v>
      </c>
      <c r="E375" s="2" t="s">
        <v>14</v>
      </c>
      <c r="F375" s="6">
        <v>0.0</v>
      </c>
      <c r="G375" s="7">
        <v>6000000.0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5" t="s">
        <v>7</v>
      </c>
      <c r="B376" s="5" t="s">
        <v>8</v>
      </c>
      <c r="C376" s="2" t="s">
        <v>327</v>
      </c>
      <c r="D376" s="2" t="s">
        <v>10</v>
      </c>
      <c r="E376" s="2" t="s">
        <v>49</v>
      </c>
      <c r="F376" s="6">
        <v>350000.0</v>
      </c>
      <c r="G376" s="7">
        <v>0.0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5" t="s">
        <v>12</v>
      </c>
      <c r="B377" s="5" t="s">
        <v>8</v>
      </c>
      <c r="C377" s="2" t="s">
        <v>327</v>
      </c>
      <c r="D377" s="2" t="s">
        <v>10</v>
      </c>
      <c r="E377" s="2" t="s">
        <v>49</v>
      </c>
      <c r="F377" s="6">
        <v>450000.0</v>
      </c>
      <c r="G377" s="7">
        <v>57807.0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5" t="s">
        <v>12</v>
      </c>
      <c r="B378" s="5" t="s">
        <v>13</v>
      </c>
      <c r="C378" s="2" t="s">
        <v>328</v>
      </c>
      <c r="D378" s="2" t="s">
        <v>16</v>
      </c>
      <c r="E378" s="2" t="s">
        <v>14</v>
      </c>
      <c r="F378" s="6">
        <v>0.0</v>
      </c>
      <c r="G378" s="7">
        <v>0.0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5" t="s">
        <v>12</v>
      </c>
      <c r="B379" s="5" t="s">
        <v>13</v>
      </c>
      <c r="C379" s="2" t="s">
        <v>329</v>
      </c>
      <c r="D379" s="2" t="s">
        <v>16</v>
      </c>
      <c r="E379" s="2" t="s">
        <v>14</v>
      </c>
      <c r="F379" s="6">
        <v>0.0</v>
      </c>
      <c r="G379" s="7">
        <v>0.0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5" t="s">
        <v>7</v>
      </c>
      <c r="B380" s="5" t="s">
        <v>13</v>
      </c>
      <c r="C380" s="2" t="s">
        <v>330</v>
      </c>
      <c r="D380" s="2" t="s">
        <v>32</v>
      </c>
      <c r="E380" s="2" t="s">
        <v>14</v>
      </c>
      <c r="F380" s="6">
        <v>10384.0</v>
      </c>
      <c r="G380" s="7">
        <v>0.0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5" t="s">
        <v>12</v>
      </c>
      <c r="B381" s="5" t="s">
        <v>13</v>
      </c>
      <c r="C381" s="2" t="s">
        <v>330</v>
      </c>
      <c r="D381" s="2" t="s">
        <v>32</v>
      </c>
      <c r="E381" s="2" t="s">
        <v>14</v>
      </c>
      <c r="F381" s="6">
        <v>0.0</v>
      </c>
      <c r="G381" s="7">
        <v>0.0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5" t="s">
        <v>7</v>
      </c>
      <c r="B382" s="5" t="s">
        <v>13</v>
      </c>
      <c r="C382" s="2" t="s">
        <v>331</v>
      </c>
      <c r="D382" s="2" t="s">
        <v>16</v>
      </c>
      <c r="E382" s="2" t="s">
        <v>144</v>
      </c>
      <c r="F382" s="6">
        <v>200000.0</v>
      </c>
      <c r="G382" s="7">
        <v>0.0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5" t="s">
        <v>12</v>
      </c>
      <c r="B383" s="5" t="s">
        <v>13</v>
      </c>
      <c r="C383" s="2" t="s">
        <v>331</v>
      </c>
      <c r="D383" s="2" t="s">
        <v>16</v>
      </c>
      <c r="E383" s="2" t="s">
        <v>14</v>
      </c>
      <c r="F383" s="6">
        <v>200000.0</v>
      </c>
      <c r="G383" s="7">
        <v>0.0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5" t="s">
        <v>12</v>
      </c>
      <c r="B384" s="5" t="s">
        <v>13</v>
      </c>
      <c r="C384" s="2" t="s">
        <v>332</v>
      </c>
      <c r="D384" s="2" t="s">
        <v>16</v>
      </c>
      <c r="E384" s="2" t="s">
        <v>14</v>
      </c>
      <c r="F384" s="6">
        <v>5000000.0</v>
      </c>
      <c r="G384" s="7">
        <v>0.0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5" t="s">
        <v>7</v>
      </c>
      <c r="B385" s="5" t="s">
        <v>13</v>
      </c>
      <c r="C385" s="2" t="s">
        <v>333</v>
      </c>
      <c r="D385" s="2" t="s">
        <v>32</v>
      </c>
      <c r="E385" s="2" t="s">
        <v>14</v>
      </c>
      <c r="F385" s="6">
        <v>0.0</v>
      </c>
      <c r="G385" s="7">
        <v>0.0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5" t="s">
        <v>12</v>
      </c>
      <c r="B386" s="5" t="s">
        <v>13</v>
      </c>
      <c r="C386" s="2" t="s">
        <v>333</v>
      </c>
      <c r="D386" s="2" t="s">
        <v>32</v>
      </c>
      <c r="E386" s="2" t="s">
        <v>96</v>
      </c>
      <c r="F386" s="6">
        <v>8350000.0</v>
      </c>
      <c r="G386" s="7">
        <v>2383994.0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5" t="s">
        <v>12</v>
      </c>
      <c r="B387" s="5" t="s">
        <v>8</v>
      </c>
      <c r="C387" s="2" t="s">
        <v>334</v>
      </c>
      <c r="D387" s="2" t="s">
        <v>10</v>
      </c>
      <c r="E387" s="2" t="s">
        <v>49</v>
      </c>
      <c r="F387" s="6">
        <v>483800.0</v>
      </c>
      <c r="G387" s="7">
        <v>0.0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5" t="s">
        <v>7</v>
      </c>
      <c r="B388" s="5" t="s">
        <v>8</v>
      </c>
      <c r="C388" s="2" t="s">
        <v>335</v>
      </c>
      <c r="D388" s="2" t="s">
        <v>19</v>
      </c>
      <c r="E388" s="2" t="s">
        <v>14</v>
      </c>
      <c r="F388" s="6">
        <v>0.0</v>
      </c>
      <c r="G388" s="7">
        <v>0.0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5" t="s">
        <v>7</v>
      </c>
      <c r="B389" s="5" t="s">
        <v>13</v>
      </c>
      <c r="C389" s="2" t="s">
        <v>335</v>
      </c>
      <c r="D389" s="2" t="s">
        <v>19</v>
      </c>
      <c r="E389" s="2" t="s">
        <v>33</v>
      </c>
      <c r="F389" s="6">
        <v>100000.0</v>
      </c>
      <c r="G389" s="7">
        <v>0.0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5" t="s">
        <v>12</v>
      </c>
      <c r="B390" s="5" t="s">
        <v>13</v>
      </c>
      <c r="C390" s="2" t="s">
        <v>335</v>
      </c>
      <c r="D390" s="2" t="s">
        <v>19</v>
      </c>
      <c r="E390" s="2" t="s">
        <v>49</v>
      </c>
      <c r="F390" s="6">
        <v>1100000.0</v>
      </c>
      <c r="G390" s="7">
        <v>1835970.0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5" t="s">
        <v>12</v>
      </c>
      <c r="B391" s="5" t="s">
        <v>8</v>
      </c>
      <c r="C391" s="2" t="s">
        <v>335</v>
      </c>
      <c r="D391" s="2" t="s">
        <v>19</v>
      </c>
      <c r="E391" s="2" t="s">
        <v>11</v>
      </c>
      <c r="F391" s="6">
        <v>1700000.0</v>
      </c>
      <c r="G391" s="7">
        <v>421059.0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5" t="s">
        <v>12</v>
      </c>
      <c r="B392" s="5" t="s">
        <v>13</v>
      </c>
      <c r="C392" s="2" t="s">
        <v>336</v>
      </c>
      <c r="D392" s="2" t="s">
        <v>19</v>
      </c>
      <c r="E392" s="2" t="s">
        <v>11</v>
      </c>
      <c r="F392" s="6">
        <v>0.0</v>
      </c>
      <c r="G392" s="7">
        <v>4587500.0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5" t="s">
        <v>12</v>
      </c>
      <c r="B393" s="5" t="s">
        <v>13</v>
      </c>
      <c r="C393" s="2" t="s">
        <v>337</v>
      </c>
      <c r="D393" s="2" t="s">
        <v>16</v>
      </c>
      <c r="E393" s="2" t="s">
        <v>14</v>
      </c>
      <c r="F393" s="6">
        <v>0.0</v>
      </c>
      <c r="G393" s="7">
        <v>0.0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5" t="s">
        <v>12</v>
      </c>
      <c r="B394" s="5" t="s">
        <v>13</v>
      </c>
      <c r="C394" s="2" t="s">
        <v>338</v>
      </c>
      <c r="D394" s="2" t="s">
        <v>16</v>
      </c>
      <c r="E394" s="2" t="s">
        <v>14</v>
      </c>
      <c r="F394" s="6">
        <v>0.0</v>
      </c>
      <c r="G394" s="7">
        <v>327.0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5" t="s">
        <v>12</v>
      </c>
      <c r="B395" s="5" t="s">
        <v>13</v>
      </c>
      <c r="C395" s="2" t="s">
        <v>339</v>
      </c>
      <c r="D395" s="2" t="s">
        <v>16</v>
      </c>
      <c r="E395" s="2" t="s">
        <v>14</v>
      </c>
      <c r="F395" s="6">
        <v>0.0</v>
      </c>
      <c r="G395" s="7">
        <v>0.0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5" t="s">
        <v>7</v>
      </c>
      <c r="B396" s="5" t="s">
        <v>13</v>
      </c>
      <c r="C396" s="2" t="s">
        <v>340</v>
      </c>
      <c r="D396" s="2" t="s">
        <v>88</v>
      </c>
      <c r="E396" s="2" t="s">
        <v>23</v>
      </c>
      <c r="F396" s="6">
        <v>2500000.0</v>
      </c>
      <c r="G396" s="7">
        <v>0.0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5" t="s">
        <v>12</v>
      </c>
      <c r="B397" s="5" t="s">
        <v>13</v>
      </c>
      <c r="C397" s="2" t="s">
        <v>340</v>
      </c>
      <c r="D397" s="2" t="s">
        <v>88</v>
      </c>
      <c r="E397" s="2" t="s">
        <v>17</v>
      </c>
      <c r="F397" s="6">
        <v>3200000.0</v>
      </c>
      <c r="G397" s="7">
        <v>669446.0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5" t="s">
        <v>12</v>
      </c>
      <c r="B398" s="5" t="s">
        <v>13</v>
      </c>
      <c r="C398" s="2" t="s">
        <v>341</v>
      </c>
      <c r="D398" s="2" t="s">
        <v>88</v>
      </c>
      <c r="E398" s="2" t="s">
        <v>14</v>
      </c>
      <c r="F398" s="6">
        <v>0.0</v>
      </c>
      <c r="G398" s="7">
        <v>0.0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5" t="s">
        <v>12</v>
      </c>
      <c r="B399" s="5" t="s">
        <v>13</v>
      </c>
      <c r="C399" s="2" t="s">
        <v>342</v>
      </c>
      <c r="D399" s="2" t="s">
        <v>16</v>
      </c>
      <c r="E399" s="2" t="s">
        <v>14</v>
      </c>
      <c r="F399" s="6">
        <v>0.0</v>
      </c>
      <c r="G399" s="7">
        <v>0.0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5" t="s">
        <v>12</v>
      </c>
      <c r="B400" s="5" t="s">
        <v>8</v>
      </c>
      <c r="C400" s="2" t="s">
        <v>343</v>
      </c>
      <c r="D400" s="2" t="s">
        <v>48</v>
      </c>
      <c r="E400" s="2" t="s">
        <v>11</v>
      </c>
      <c r="F400" s="6">
        <v>3474959.0</v>
      </c>
      <c r="G400" s="7">
        <v>4985120.0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5" t="s">
        <v>12</v>
      </c>
      <c r="B401" s="5" t="s">
        <v>8</v>
      </c>
      <c r="C401" s="2" t="s">
        <v>344</v>
      </c>
      <c r="D401" s="2" t="s">
        <v>48</v>
      </c>
      <c r="E401" s="2" t="s">
        <v>14</v>
      </c>
      <c r="F401" s="6">
        <v>0.0</v>
      </c>
      <c r="G401" s="7">
        <v>0.0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5" t="s">
        <v>12</v>
      </c>
      <c r="B402" s="5" t="s">
        <v>13</v>
      </c>
      <c r="C402" s="2" t="s">
        <v>345</v>
      </c>
      <c r="D402" s="2" t="s">
        <v>10</v>
      </c>
      <c r="E402" s="2" t="s">
        <v>14</v>
      </c>
      <c r="F402" s="6">
        <v>0.0</v>
      </c>
      <c r="G402" s="7">
        <v>0.0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5" t="s">
        <v>12</v>
      </c>
      <c r="B403" s="5" t="s">
        <v>8</v>
      </c>
      <c r="C403" s="2" t="s">
        <v>345</v>
      </c>
      <c r="D403" s="2" t="s">
        <v>10</v>
      </c>
      <c r="E403" s="2" t="s">
        <v>49</v>
      </c>
      <c r="F403" s="6">
        <v>0.0</v>
      </c>
      <c r="G403" s="7">
        <v>0.0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5" t="s">
        <v>12</v>
      </c>
      <c r="B404" s="5" t="s">
        <v>13</v>
      </c>
      <c r="C404" s="2" t="s">
        <v>346</v>
      </c>
      <c r="D404" s="2" t="s">
        <v>16</v>
      </c>
      <c r="E404" s="2" t="s">
        <v>14</v>
      </c>
      <c r="F404" s="6">
        <v>0.0</v>
      </c>
      <c r="G404" s="7">
        <v>0.0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5" t="s">
        <v>7</v>
      </c>
      <c r="B405" s="5" t="s">
        <v>8</v>
      </c>
      <c r="C405" s="2" t="s">
        <v>347</v>
      </c>
      <c r="D405" s="2" t="s">
        <v>10</v>
      </c>
      <c r="E405" s="2" t="s">
        <v>14</v>
      </c>
      <c r="F405" s="6">
        <v>0.0</v>
      </c>
      <c r="G405" s="7">
        <v>0.0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5" t="s">
        <v>12</v>
      </c>
      <c r="B406" s="5" t="s">
        <v>13</v>
      </c>
      <c r="C406" s="2" t="s">
        <v>347</v>
      </c>
      <c r="D406" s="2" t="s">
        <v>10</v>
      </c>
      <c r="E406" s="2" t="s">
        <v>11</v>
      </c>
      <c r="F406" s="6">
        <v>103000.0</v>
      </c>
      <c r="G406" s="7">
        <v>0.0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5" t="s">
        <v>12</v>
      </c>
      <c r="B407" s="5" t="s">
        <v>8</v>
      </c>
      <c r="C407" s="2" t="s">
        <v>347</v>
      </c>
      <c r="D407" s="2" t="s">
        <v>10</v>
      </c>
      <c r="E407" s="2" t="s">
        <v>49</v>
      </c>
      <c r="F407" s="6">
        <v>200000.0</v>
      </c>
      <c r="G407" s="7">
        <v>0.0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5" t="s">
        <v>12</v>
      </c>
      <c r="B408" s="5" t="s">
        <v>13</v>
      </c>
      <c r="C408" s="2" t="s">
        <v>348</v>
      </c>
      <c r="D408" s="2" t="s">
        <v>83</v>
      </c>
      <c r="E408" s="2" t="s">
        <v>14</v>
      </c>
      <c r="F408" s="6">
        <v>0.0</v>
      </c>
      <c r="G408" s="7">
        <v>0.0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5" t="s">
        <v>7</v>
      </c>
      <c r="B409" s="5" t="s">
        <v>8</v>
      </c>
      <c r="C409" s="2" t="s">
        <v>349</v>
      </c>
      <c r="D409" s="2" t="s">
        <v>16</v>
      </c>
      <c r="E409" s="2" t="s">
        <v>14</v>
      </c>
      <c r="F409" s="6">
        <v>0.0</v>
      </c>
      <c r="G409" s="7">
        <v>0.0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5" t="s">
        <v>12</v>
      </c>
      <c r="B410" s="5" t="s">
        <v>13</v>
      </c>
      <c r="C410" s="2" t="s">
        <v>349</v>
      </c>
      <c r="D410" s="2" t="s">
        <v>16</v>
      </c>
      <c r="E410" s="2" t="s">
        <v>14</v>
      </c>
      <c r="F410" s="6">
        <v>0.0</v>
      </c>
      <c r="G410" s="7">
        <v>0.0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5" t="s">
        <v>12</v>
      </c>
      <c r="B411" s="5" t="s">
        <v>8</v>
      </c>
      <c r="C411" s="2" t="s">
        <v>349</v>
      </c>
      <c r="D411" s="2" t="s">
        <v>16</v>
      </c>
      <c r="E411" s="2" t="s">
        <v>14</v>
      </c>
      <c r="F411" s="6">
        <v>0.0</v>
      </c>
      <c r="G411" s="7">
        <v>0.0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5" t="s">
        <v>7</v>
      </c>
      <c r="B412" s="5" t="s">
        <v>13</v>
      </c>
      <c r="C412" s="2" t="s">
        <v>350</v>
      </c>
      <c r="D412" s="2" t="s">
        <v>88</v>
      </c>
      <c r="E412" s="2" t="s">
        <v>17</v>
      </c>
      <c r="F412" s="6">
        <v>150000.0</v>
      </c>
      <c r="G412" s="7">
        <v>0.0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5" t="s">
        <v>12</v>
      </c>
      <c r="B413" s="5" t="s">
        <v>13</v>
      </c>
      <c r="C413" s="2" t="s">
        <v>350</v>
      </c>
      <c r="D413" s="2" t="s">
        <v>88</v>
      </c>
      <c r="E413" s="2" t="s">
        <v>17</v>
      </c>
      <c r="F413" s="6">
        <v>630000.0</v>
      </c>
      <c r="G413" s="7">
        <v>308275.0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5" t="s">
        <v>12</v>
      </c>
      <c r="B414" s="5" t="s">
        <v>13</v>
      </c>
      <c r="C414" s="2" t="s">
        <v>351</v>
      </c>
      <c r="D414" s="2" t="s">
        <v>16</v>
      </c>
      <c r="E414" s="2" t="s">
        <v>14</v>
      </c>
      <c r="F414" s="6">
        <v>0.0</v>
      </c>
      <c r="G414" s="7">
        <v>602000.0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5" t="s">
        <v>12</v>
      </c>
      <c r="B415" s="5" t="s">
        <v>13</v>
      </c>
      <c r="C415" s="2" t="s">
        <v>352</v>
      </c>
      <c r="D415" s="2" t="s">
        <v>16</v>
      </c>
      <c r="E415" s="2" t="s">
        <v>33</v>
      </c>
      <c r="F415" s="6">
        <v>0.0</v>
      </c>
      <c r="G415" s="7">
        <v>0.0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5" t="s">
        <v>12</v>
      </c>
      <c r="B416" s="5" t="s">
        <v>13</v>
      </c>
      <c r="C416" s="2" t="s">
        <v>353</v>
      </c>
      <c r="D416" s="2" t="s">
        <v>16</v>
      </c>
      <c r="E416" s="2" t="s">
        <v>14</v>
      </c>
      <c r="F416" s="6">
        <v>0.0</v>
      </c>
      <c r="G416" s="7">
        <v>0.0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5" t="s">
        <v>12</v>
      </c>
      <c r="B417" s="5" t="s">
        <v>13</v>
      </c>
      <c r="C417" s="2" t="s">
        <v>354</v>
      </c>
      <c r="D417" s="2" t="s">
        <v>16</v>
      </c>
      <c r="E417" s="2" t="s">
        <v>33</v>
      </c>
      <c r="F417" s="6">
        <v>0.0</v>
      </c>
      <c r="G417" s="7">
        <v>0.0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5" t="s">
        <v>12</v>
      </c>
      <c r="B418" s="5" t="s">
        <v>8</v>
      </c>
      <c r="C418" s="2" t="s">
        <v>355</v>
      </c>
      <c r="D418" s="2" t="s">
        <v>10</v>
      </c>
      <c r="E418" s="2" t="s">
        <v>49</v>
      </c>
      <c r="F418" s="6">
        <v>145000.0</v>
      </c>
      <c r="G418" s="7">
        <v>98208.0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5" t="s">
        <v>12</v>
      </c>
      <c r="B419" s="5" t="s">
        <v>13</v>
      </c>
      <c r="C419" s="2" t="s">
        <v>355</v>
      </c>
      <c r="D419" s="2" t="s">
        <v>10</v>
      </c>
      <c r="E419" s="2" t="s">
        <v>14</v>
      </c>
      <c r="F419" s="6">
        <v>395000.0</v>
      </c>
      <c r="G419" s="7">
        <v>0.0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5" t="s">
        <v>12</v>
      </c>
      <c r="B420" s="5" t="s">
        <v>13</v>
      </c>
      <c r="C420" s="2" t="s">
        <v>356</v>
      </c>
      <c r="D420" s="2" t="s">
        <v>16</v>
      </c>
      <c r="E420" s="2" t="s">
        <v>14</v>
      </c>
      <c r="F420" s="6">
        <v>0.0</v>
      </c>
      <c r="G420" s="7">
        <v>0.0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5" t="s">
        <v>12</v>
      </c>
      <c r="B421" s="5" t="s">
        <v>8</v>
      </c>
      <c r="C421" s="2" t="s">
        <v>356</v>
      </c>
      <c r="D421" s="2" t="s">
        <v>16</v>
      </c>
      <c r="E421" s="2" t="s">
        <v>49</v>
      </c>
      <c r="F421" s="6">
        <v>117175.0</v>
      </c>
      <c r="G421" s="7">
        <v>70800.0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5" t="s">
        <v>12</v>
      </c>
      <c r="B422" s="5" t="s">
        <v>13</v>
      </c>
      <c r="C422" s="2" t="s">
        <v>357</v>
      </c>
      <c r="D422" s="2" t="s">
        <v>16</v>
      </c>
      <c r="E422" s="2" t="s">
        <v>14</v>
      </c>
      <c r="F422" s="6">
        <v>0.0</v>
      </c>
      <c r="G422" s="7">
        <v>0.0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5" t="s">
        <v>12</v>
      </c>
      <c r="B423" s="5" t="s">
        <v>13</v>
      </c>
      <c r="C423" s="2" t="s">
        <v>358</v>
      </c>
      <c r="D423" s="2" t="s">
        <v>16</v>
      </c>
      <c r="E423" s="2" t="s">
        <v>14</v>
      </c>
      <c r="F423" s="6">
        <v>0.0</v>
      </c>
      <c r="G423" s="7">
        <v>0.0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5" t="s">
        <v>12</v>
      </c>
      <c r="B424" s="5" t="s">
        <v>13</v>
      </c>
      <c r="C424" s="2" t="s">
        <v>359</v>
      </c>
      <c r="D424" s="2" t="s">
        <v>16</v>
      </c>
      <c r="E424" s="2" t="s">
        <v>14</v>
      </c>
      <c r="F424" s="6">
        <v>0.0</v>
      </c>
      <c r="G424" s="7">
        <v>0.0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5" t="s">
        <v>12</v>
      </c>
      <c r="B425" s="5" t="s">
        <v>8</v>
      </c>
      <c r="C425" s="2" t="s">
        <v>359</v>
      </c>
      <c r="D425" s="2" t="s">
        <v>16</v>
      </c>
      <c r="E425" s="2" t="s">
        <v>49</v>
      </c>
      <c r="F425" s="6">
        <v>1.0</v>
      </c>
      <c r="G425" s="7">
        <v>0.0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5" t="s">
        <v>7</v>
      </c>
      <c r="B426" s="5" t="s">
        <v>8</v>
      </c>
      <c r="C426" s="2" t="s">
        <v>360</v>
      </c>
      <c r="D426" s="2" t="s">
        <v>16</v>
      </c>
      <c r="E426" s="2" t="s">
        <v>14</v>
      </c>
      <c r="F426" s="6">
        <v>0.0</v>
      </c>
      <c r="G426" s="7">
        <v>0.0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5" t="s">
        <v>12</v>
      </c>
      <c r="B427" s="5" t="s">
        <v>8</v>
      </c>
      <c r="C427" s="2" t="s">
        <v>360</v>
      </c>
      <c r="D427" s="2" t="s">
        <v>16</v>
      </c>
      <c r="E427" s="2" t="s">
        <v>49</v>
      </c>
      <c r="F427" s="6">
        <v>250000.0</v>
      </c>
      <c r="G427" s="7">
        <v>0.0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5" t="s">
        <v>12</v>
      </c>
      <c r="B428" s="5" t="s">
        <v>13</v>
      </c>
      <c r="C428" s="2" t="s">
        <v>361</v>
      </c>
      <c r="D428" s="2" t="s">
        <v>16</v>
      </c>
      <c r="E428" s="2" t="s">
        <v>14</v>
      </c>
      <c r="F428" s="6">
        <v>0.0</v>
      </c>
      <c r="G428" s="7">
        <v>0.0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5" t="s">
        <v>7</v>
      </c>
      <c r="B429" s="5" t="s">
        <v>13</v>
      </c>
      <c r="C429" s="2" t="s">
        <v>362</v>
      </c>
      <c r="D429" s="2" t="s">
        <v>48</v>
      </c>
      <c r="E429" s="2" t="s">
        <v>14</v>
      </c>
      <c r="F429" s="6">
        <v>0.0</v>
      </c>
      <c r="G429" s="7">
        <v>0.0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5" t="s">
        <v>12</v>
      </c>
      <c r="B430" s="5" t="s">
        <v>13</v>
      </c>
      <c r="C430" s="2" t="s">
        <v>362</v>
      </c>
      <c r="D430" s="2" t="s">
        <v>48</v>
      </c>
      <c r="E430" s="2" t="s">
        <v>14</v>
      </c>
      <c r="F430" s="6">
        <v>0.0</v>
      </c>
      <c r="G430" s="7">
        <v>0.0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5" t="s">
        <v>12</v>
      </c>
      <c r="B431" s="5" t="s">
        <v>13</v>
      </c>
      <c r="C431" s="2" t="s">
        <v>363</v>
      </c>
      <c r="D431" s="2" t="s">
        <v>16</v>
      </c>
      <c r="E431" s="2" t="s">
        <v>14</v>
      </c>
      <c r="F431" s="6">
        <v>0.0</v>
      </c>
      <c r="G431" s="7">
        <v>0.0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5" t="s">
        <v>12</v>
      </c>
      <c r="B432" s="5" t="s">
        <v>13</v>
      </c>
      <c r="C432" s="2" t="s">
        <v>364</v>
      </c>
      <c r="D432" s="2" t="s">
        <v>16</v>
      </c>
      <c r="E432" s="2" t="s">
        <v>14</v>
      </c>
      <c r="F432" s="6">
        <v>0.0</v>
      </c>
      <c r="G432" s="7">
        <v>0.0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5" t="s">
        <v>12</v>
      </c>
      <c r="B433" s="5" t="s">
        <v>13</v>
      </c>
      <c r="C433" s="2" t="s">
        <v>365</v>
      </c>
      <c r="D433" s="2" t="s">
        <v>16</v>
      </c>
      <c r="E433" s="2" t="s">
        <v>14</v>
      </c>
      <c r="F433" s="6">
        <v>0.0</v>
      </c>
      <c r="G433" s="7">
        <v>0.0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5" t="s">
        <v>12</v>
      </c>
      <c r="B434" s="5" t="s">
        <v>13</v>
      </c>
      <c r="C434" s="2" t="s">
        <v>366</v>
      </c>
      <c r="D434" s="2" t="s">
        <v>16</v>
      </c>
      <c r="E434" s="2" t="s">
        <v>14</v>
      </c>
      <c r="F434" s="6">
        <v>0.0</v>
      </c>
      <c r="G434" s="7">
        <v>0.0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5" t="s">
        <v>7</v>
      </c>
      <c r="B435" s="5" t="s">
        <v>13</v>
      </c>
      <c r="C435" s="2" t="s">
        <v>367</v>
      </c>
      <c r="D435" s="2" t="s">
        <v>32</v>
      </c>
      <c r="E435" s="2" t="s">
        <v>173</v>
      </c>
      <c r="F435" s="6">
        <v>3600000.0</v>
      </c>
      <c r="G435" s="7">
        <v>0.0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5" t="s">
        <v>12</v>
      </c>
      <c r="B436" s="5" t="s">
        <v>13</v>
      </c>
      <c r="C436" s="2" t="s">
        <v>367</v>
      </c>
      <c r="D436" s="2" t="s">
        <v>32</v>
      </c>
      <c r="E436" s="2" t="s">
        <v>11</v>
      </c>
      <c r="F436" s="6">
        <v>1800000.0</v>
      </c>
      <c r="G436" s="7">
        <v>0.0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5" t="s">
        <v>12</v>
      </c>
      <c r="B437" s="5" t="s">
        <v>13</v>
      </c>
      <c r="C437" s="2" t="s">
        <v>368</v>
      </c>
      <c r="D437" s="2" t="s">
        <v>16</v>
      </c>
      <c r="E437" s="2" t="s">
        <v>14</v>
      </c>
      <c r="F437" s="6">
        <v>0.0</v>
      </c>
      <c r="G437" s="7">
        <v>0.0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5" t="s">
        <v>12</v>
      </c>
      <c r="B438" s="5" t="s">
        <v>13</v>
      </c>
      <c r="C438" s="2" t="s">
        <v>369</v>
      </c>
      <c r="D438" s="2" t="s">
        <v>16</v>
      </c>
      <c r="E438" s="2" t="s">
        <v>11</v>
      </c>
      <c r="F438" s="6">
        <v>500000.0</v>
      </c>
      <c r="G438" s="7">
        <v>0.0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5" t="s">
        <v>12</v>
      </c>
      <c r="B439" s="5" t="s">
        <v>8</v>
      </c>
      <c r="C439" s="2" t="s">
        <v>370</v>
      </c>
      <c r="D439" s="2" t="s">
        <v>48</v>
      </c>
      <c r="E439" s="2" t="s">
        <v>17</v>
      </c>
      <c r="F439" s="6">
        <v>1660000.0</v>
      </c>
      <c r="G439" s="7">
        <v>911061.0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5" t="s">
        <v>12</v>
      </c>
      <c r="B440" s="5" t="s">
        <v>13</v>
      </c>
      <c r="C440" s="2" t="s">
        <v>370</v>
      </c>
      <c r="D440" s="2" t="s">
        <v>48</v>
      </c>
      <c r="E440" s="2" t="s">
        <v>17</v>
      </c>
      <c r="F440" s="6">
        <v>1258000.0</v>
      </c>
      <c r="G440" s="7">
        <v>0.0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5" t="s">
        <v>12</v>
      </c>
      <c r="B441" s="5" t="s">
        <v>13</v>
      </c>
      <c r="C441" s="2" t="s">
        <v>371</v>
      </c>
      <c r="D441" s="2" t="s">
        <v>16</v>
      </c>
      <c r="E441" s="2" t="s">
        <v>14</v>
      </c>
      <c r="F441" s="6">
        <v>0.0</v>
      </c>
      <c r="G441" s="7">
        <v>0.0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5" t="s">
        <v>7</v>
      </c>
      <c r="B442" s="5" t="s">
        <v>13</v>
      </c>
      <c r="C442" s="2" t="s">
        <v>372</v>
      </c>
      <c r="D442" s="2" t="s">
        <v>83</v>
      </c>
      <c r="E442" s="2" t="s">
        <v>23</v>
      </c>
      <c r="F442" s="6">
        <v>1500000.0</v>
      </c>
      <c r="G442" s="7">
        <v>0.0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5" t="s">
        <v>12</v>
      </c>
      <c r="B443" s="5" t="s">
        <v>13</v>
      </c>
      <c r="C443" s="2" t="s">
        <v>372</v>
      </c>
      <c r="D443" s="2" t="s">
        <v>83</v>
      </c>
      <c r="E443" s="2" t="s">
        <v>17</v>
      </c>
      <c r="F443" s="6">
        <v>1500000.0</v>
      </c>
      <c r="G443" s="7">
        <v>2203803.0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5" t="s">
        <v>12</v>
      </c>
      <c r="B444" s="5" t="s">
        <v>13</v>
      </c>
      <c r="C444" s="2" t="s">
        <v>373</v>
      </c>
      <c r="D444" s="2" t="s">
        <v>16</v>
      </c>
      <c r="E444" s="2" t="s">
        <v>14</v>
      </c>
      <c r="F444" s="6">
        <v>0.0</v>
      </c>
      <c r="G444" s="7">
        <v>0.0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5" t="s">
        <v>12</v>
      </c>
      <c r="B445" s="5" t="s">
        <v>13</v>
      </c>
      <c r="C445" s="2" t="s">
        <v>374</v>
      </c>
      <c r="D445" s="2" t="s">
        <v>16</v>
      </c>
      <c r="E445" s="2" t="s">
        <v>14</v>
      </c>
      <c r="F445" s="6">
        <v>0.0</v>
      </c>
      <c r="G445" s="7">
        <v>0.0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5" t="s">
        <v>12</v>
      </c>
      <c r="B446" s="5" t="s">
        <v>13</v>
      </c>
      <c r="C446" s="2" t="s">
        <v>375</v>
      </c>
      <c r="D446" s="2" t="s">
        <v>16</v>
      </c>
      <c r="E446" s="2" t="s">
        <v>33</v>
      </c>
      <c r="F446" s="6">
        <v>0.0</v>
      </c>
      <c r="G446" s="7">
        <v>0.0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5" t="s">
        <v>12</v>
      </c>
      <c r="B447" s="5" t="s">
        <v>13</v>
      </c>
      <c r="C447" s="2" t="s">
        <v>376</v>
      </c>
      <c r="D447" s="2" t="s">
        <v>16</v>
      </c>
      <c r="E447" s="2" t="s">
        <v>14</v>
      </c>
      <c r="F447" s="6">
        <v>0.0</v>
      </c>
      <c r="G447" s="7">
        <v>0.0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5" t="s">
        <v>12</v>
      </c>
      <c r="B448" s="5" t="s">
        <v>13</v>
      </c>
      <c r="C448" s="2" t="s">
        <v>377</v>
      </c>
      <c r="D448" s="2" t="s">
        <v>16</v>
      </c>
      <c r="E448" s="2" t="s">
        <v>14</v>
      </c>
      <c r="F448" s="6">
        <v>0.0</v>
      </c>
      <c r="G448" s="7">
        <v>0.0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5" t="s">
        <v>12</v>
      </c>
      <c r="B449" s="5" t="s">
        <v>13</v>
      </c>
      <c r="C449" s="2" t="s">
        <v>378</v>
      </c>
      <c r="D449" s="2" t="s">
        <v>16</v>
      </c>
      <c r="E449" s="2" t="s">
        <v>14</v>
      </c>
      <c r="F449" s="6">
        <v>0.0</v>
      </c>
      <c r="G449" s="7">
        <v>0.0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5" t="s">
        <v>12</v>
      </c>
      <c r="B450" s="5" t="s">
        <v>13</v>
      </c>
      <c r="C450" s="2" t="s">
        <v>379</v>
      </c>
      <c r="D450" s="2" t="s">
        <v>16</v>
      </c>
      <c r="E450" s="2" t="s">
        <v>14</v>
      </c>
      <c r="F450" s="6">
        <v>0.0</v>
      </c>
      <c r="G450" s="7">
        <v>0.0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5" t="s">
        <v>12</v>
      </c>
      <c r="B451" s="5" t="s">
        <v>13</v>
      </c>
      <c r="C451" s="2" t="s">
        <v>380</v>
      </c>
      <c r="D451" s="2" t="s">
        <v>16</v>
      </c>
      <c r="E451" s="2" t="s">
        <v>14</v>
      </c>
      <c r="F451" s="6">
        <v>0.0</v>
      </c>
      <c r="G451" s="7">
        <v>0.0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5" t="s">
        <v>12</v>
      </c>
      <c r="B452" s="5" t="s">
        <v>13</v>
      </c>
      <c r="C452" s="2" t="s">
        <v>381</v>
      </c>
      <c r="D452" s="2" t="s">
        <v>48</v>
      </c>
      <c r="E452" s="2" t="s">
        <v>14</v>
      </c>
      <c r="F452" s="6">
        <v>600000.0</v>
      </c>
      <c r="G452" s="7">
        <v>0.0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5" t="s">
        <v>12</v>
      </c>
      <c r="B453" s="5" t="s">
        <v>13</v>
      </c>
      <c r="C453" s="2" t="s">
        <v>382</v>
      </c>
      <c r="D453" s="2" t="s">
        <v>16</v>
      </c>
      <c r="E453" s="2" t="s">
        <v>14</v>
      </c>
      <c r="F453" s="6">
        <v>0.0</v>
      </c>
      <c r="G453" s="7">
        <v>4569600.0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5" t="s">
        <v>7</v>
      </c>
      <c r="B454" s="5" t="s">
        <v>13</v>
      </c>
      <c r="C454" s="2" t="s">
        <v>383</v>
      </c>
      <c r="D454" s="2" t="s">
        <v>19</v>
      </c>
      <c r="E454" s="2" t="s">
        <v>17</v>
      </c>
      <c r="F454" s="6">
        <v>0.0</v>
      </c>
      <c r="G454" s="7">
        <v>0.0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5" t="s">
        <v>12</v>
      </c>
      <c r="B455" s="5" t="s">
        <v>13</v>
      </c>
      <c r="C455" s="2" t="s">
        <v>383</v>
      </c>
      <c r="D455" s="2" t="s">
        <v>19</v>
      </c>
      <c r="E455" s="2" t="s">
        <v>14</v>
      </c>
      <c r="F455" s="6">
        <v>0.0</v>
      </c>
      <c r="G455" s="7">
        <v>0.0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5" t="s">
        <v>12</v>
      </c>
      <c r="B456" s="5" t="s">
        <v>13</v>
      </c>
      <c r="C456" s="2" t="s">
        <v>384</v>
      </c>
      <c r="D456" s="2" t="s">
        <v>19</v>
      </c>
      <c r="E456" s="2" t="s">
        <v>14</v>
      </c>
      <c r="F456" s="6">
        <v>0.0</v>
      </c>
      <c r="G456" s="7">
        <v>0.0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5" t="s">
        <v>12</v>
      </c>
      <c r="B457" s="5" t="s">
        <v>13</v>
      </c>
      <c r="C457" s="2" t="s">
        <v>385</v>
      </c>
      <c r="D457" s="2" t="s">
        <v>16</v>
      </c>
      <c r="E457" s="2" t="s">
        <v>14</v>
      </c>
      <c r="F457" s="6">
        <v>0.0</v>
      </c>
      <c r="G457" s="7">
        <v>0.0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5" t="s">
        <v>7</v>
      </c>
      <c r="B458" s="5" t="s">
        <v>8</v>
      </c>
      <c r="C458" s="2" t="s">
        <v>386</v>
      </c>
      <c r="D458" s="2" t="s">
        <v>16</v>
      </c>
      <c r="E458" s="2" t="s">
        <v>14</v>
      </c>
      <c r="F458" s="6">
        <v>0.0</v>
      </c>
      <c r="G458" s="7">
        <v>0.0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5" t="s">
        <v>12</v>
      </c>
      <c r="B459" s="5" t="s">
        <v>13</v>
      </c>
      <c r="C459" s="2" t="s">
        <v>386</v>
      </c>
      <c r="D459" s="2" t="s">
        <v>16</v>
      </c>
      <c r="E459" s="2" t="s">
        <v>14</v>
      </c>
      <c r="F459" s="6">
        <v>0.0</v>
      </c>
      <c r="G459" s="7">
        <v>0.0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5" t="s">
        <v>12</v>
      </c>
      <c r="B460" s="5" t="s">
        <v>8</v>
      </c>
      <c r="C460" s="2" t="s">
        <v>386</v>
      </c>
      <c r="D460" s="2" t="s">
        <v>16</v>
      </c>
      <c r="E460" s="2" t="s">
        <v>14</v>
      </c>
      <c r="F460" s="6">
        <v>0.0</v>
      </c>
      <c r="G460" s="7">
        <v>0.0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5" t="s">
        <v>7</v>
      </c>
      <c r="B461" s="5" t="s">
        <v>8</v>
      </c>
      <c r="C461" s="2" t="s">
        <v>387</v>
      </c>
      <c r="D461" s="2" t="s">
        <v>48</v>
      </c>
      <c r="E461" s="2" t="s">
        <v>17</v>
      </c>
      <c r="F461" s="6">
        <v>0.0</v>
      </c>
      <c r="G461" s="7">
        <v>0.0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5" t="s">
        <v>12</v>
      </c>
      <c r="B462" s="5" t="s">
        <v>8</v>
      </c>
      <c r="C462" s="2" t="s">
        <v>387</v>
      </c>
      <c r="D462" s="2" t="s">
        <v>48</v>
      </c>
      <c r="E462" s="2" t="s">
        <v>17</v>
      </c>
      <c r="F462" s="6">
        <v>2200000.0</v>
      </c>
      <c r="G462" s="7">
        <v>2362255.0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5" t="s">
        <v>12</v>
      </c>
      <c r="B463" s="5" t="s">
        <v>13</v>
      </c>
      <c r="C463" s="2" t="s">
        <v>388</v>
      </c>
      <c r="D463" s="2" t="s">
        <v>16</v>
      </c>
      <c r="E463" s="2" t="s">
        <v>14</v>
      </c>
      <c r="F463" s="6">
        <v>700000.0</v>
      </c>
      <c r="G463" s="7">
        <v>0.0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5" t="s">
        <v>12</v>
      </c>
      <c r="B464" s="5" t="s">
        <v>13</v>
      </c>
      <c r="C464" s="2" t="s">
        <v>389</v>
      </c>
      <c r="D464" s="2" t="s">
        <v>16</v>
      </c>
      <c r="E464" s="2" t="s">
        <v>14</v>
      </c>
      <c r="F464" s="6">
        <v>0.0</v>
      </c>
      <c r="G464" s="7">
        <v>0.0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5" t="s">
        <v>12</v>
      </c>
      <c r="B465" s="5" t="s">
        <v>13</v>
      </c>
      <c r="C465" s="2" t="s">
        <v>390</v>
      </c>
      <c r="D465" s="2" t="s">
        <v>83</v>
      </c>
      <c r="E465" s="2" t="s">
        <v>49</v>
      </c>
      <c r="F465" s="6">
        <v>2750000.0</v>
      </c>
      <c r="G465" s="7">
        <v>1204829.0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5" t="s">
        <v>7</v>
      </c>
      <c r="B466" s="5" t="s">
        <v>8</v>
      </c>
      <c r="C466" s="2" t="s">
        <v>391</v>
      </c>
      <c r="D466" s="2" t="s">
        <v>10</v>
      </c>
      <c r="E466" s="2" t="s">
        <v>49</v>
      </c>
      <c r="F466" s="6">
        <v>70000.0</v>
      </c>
      <c r="G466" s="7">
        <v>0.0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5" t="s">
        <v>12</v>
      </c>
      <c r="B467" s="5" t="s">
        <v>8</v>
      </c>
      <c r="C467" s="2" t="s">
        <v>391</v>
      </c>
      <c r="D467" s="2" t="s">
        <v>10</v>
      </c>
      <c r="E467" s="2" t="s">
        <v>49</v>
      </c>
      <c r="F467" s="6">
        <v>100000.0</v>
      </c>
      <c r="G467" s="7">
        <v>0.0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5" t="s">
        <v>12</v>
      </c>
      <c r="B468" s="5" t="s">
        <v>13</v>
      </c>
      <c r="C468" s="2" t="s">
        <v>392</v>
      </c>
      <c r="D468" s="2" t="s">
        <v>16</v>
      </c>
      <c r="E468" s="2" t="s">
        <v>14</v>
      </c>
      <c r="F468" s="6">
        <v>0.0</v>
      </c>
      <c r="G468" s="7">
        <v>0.0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5" t="s">
        <v>12</v>
      </c>
      <c r="B469" s="5" t="s">
        <v>13</v>
      </c>
      <c r="C469" s="2" t="s">
        <v>393</v>
      </c>
      <c r="D469" s="2" t="s">
        <v>16</v>
      </c>
      <c r="E469" s="2" t="s">
        <v>17</v>
      </c>
      <c r="F469" s="6">
        <v>50000.0</v>
      </c>
      <c r="G469" s="7">
        <v>0.0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5" t="s">
        <v>12</v>
      </c>
      <c r="B470" s="5" t="s">
        <v>8</v>
      </c>
      <c r="C470" s="2" t="s">
        <v>394</v>
      </c>
      <c r="D470" s="2" t="s">
        <v>16</v>
      </c>
      <c r="E470" s="2" t="s">
        <v>49</v>
      </c>
      <c r="F470" s="6">
        <v>275000.0</v>
      </c>
      <c r="G470" s="7">
        <v>168812.0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5" t="s">
        <v>12</v>
      </c>
      <c r="B471" s="5" t="s">
        <v>13</v>
      </c>
      <c r="C471" s="2" t="s">
        <v>395</v>
      </c>
      <c r="D471" s="2" t="s">
        <v>16</v>
      </c>
      <c r="E471" s="2" t="s">
        <v>14</v>
      </c>
      <c r="F471" s="6">
        <v>300000.0</v>
      </c>
      <c r="G471" s="7">
        <v>0.0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5" t="s">
        <v>12</v>
      </c>
      <c r="B472" s="5" t="s">
        <v>13</v>
      </c>
      <c r="C472" s="2" t="s">
        <v>396</v>
      </c>
      <c r="D472" s="2" t="s">
        <v>16</v>
      </c>
      <c r="E472" s="2" t="s">
        <v>14</v>
      </c>
      <c r="F472" s="6">
        <v>19000.0</v>
      </c>
      <c r="G472" s="7">
        <v>22066.0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5" t="s">
        <v>12</v>
      </c>
      <c r="B473" s="5" t="s">
        <v>13</v>
      </c>
      <c r="C473" s="2" t="s">
        <v>397</v>
      </c>
      <c r="D473" s="2" t="s">
        <v>16</v>
      </c>
      <c r="E473" s="2" t="s">
        <v>14</v>
      </c>
      <c r="F473" s="6">
        <v>0.0</v>
      </c>
      <c r="G473" s="7">
        <v>0.0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5" t="s">
        <v>12</v>
      </c>
      <c r="B474" s="5" t="s">
        <v>13</v>
      </c>
      <c r="C474" s="2" t="s">
        <v>398</v>
      </c>
      <c r="D474" s="2" t="s">
        <v>16</v>
      </c>
      <c r="E474" s="2" t="s">
        <v>49</v>
      </c>
      <c r="F474" s="6">
        <v>0.0</v>
      </c>
      <c r="G474" s="7">
        <v>0.0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5" t="s">
        <v>12</v>
      </c>
      <c r="B475" s="5" t="s">
        <v>13</v>
      </c>
      <c r="C475" s="2" t="s">
        <v>399</v>
      </c>
      <c r="D475" s="2" t="s">
        <v>16</v>
      </c>
      <c r="E475" s="2" t="s">
        <v>14</v>
      </c>
      <c r="F475" s="6">
        <v>0.0</v>
      </c>
      <c r="G475" s="7">
        <v>0.0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5" t="s">
        <v>12</v>
      </c>
      <c r="B476" s="5" t="s">
        <v>13</v>
      </c>
      <c r="C476" s="2" t="s">
        <v>400</v>
      </c>
      <c r="D476" s="2" t="s">
        <v>16</v>
      </c>
      <c r="E476" s="2" t="s">
        <v>14</v>
      </c>
      <c r="F476" s="6">
        <v>0.0</v>
      </c>
      <c r="G476" s="7">
        <v>0.0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5" t="s">
        <v>12</v>
      </c>
      <c r="B477" s="5" t="s">
        <v>13</v>
      </c>
      <c r="C477" s="2" t="s">
        <v>401</v>
      </c>
      <c r="D477" s="2" t="s">
        <v>16</v>
      </c>
      <c r="E477" s="2" t="s">
        <v>14</v>
      </c>
      <c r="F477" s="6">
        <v>0.0</v>
      </c>
      <c r="G477" s="7">
        <v>0.0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5" t="s">
        <v>12</v>
      </c>
      <c r="B478" s="5" t="s">
        <v>13</v>
      </c>
      <c r="C478" s="2" t="s">
        <v>402</v>
      </c>
      <c r="D478" s="2" t="s">
        <v>16</v>
      </c>
      <c r="E478" s="2" t="s">
        <v>14</v>
      </c>
      <c r="F478" s="6">
        <v>0.0</v>
      </c>
      <c r="G478" s="7">
        <v>0.0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5" t="s">
        <v>12</v>
      </c>
      <c r="B479" s="5" t="s">
        <v>13</v>
      </c>
      <c r="C479" s="2" t="s">
        <v>403</v>
      </c>
      <c r="D479" s="2" t="s">
        <v>16</v>
      </c>
      <c r="E479" s="2" t="s">
        <v>14</v>
      </c>
      <c r="F479" s="6">
        <v>0.0</v>
      </c>
      <c r="G479" s="7">
        <v>0.0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5" t="s">
        <v>12</v>
      </c>
      <c r="B480" s="5" t="s">
        <v>13</v>
      </c>
      <c r="C480" s="2" t="s">
        <v>404</v>
      </c>
      <c r="D480" s="2" t="s">
        <v>16</v>
      </c>
      <c r="E480" s="2" t="s">
        <v>14</v>
      </c>
      <c r="F480" s="6">
        <v>14000.0</v>
      </c>
      <c r="G480" s="7">
        <v>0.0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5" t="s">
        <v>12</v>
      </c>
      <c r="B481" s="5" t="s">
        <v>13</v>
      </c>
      <c r="C481" s="2" t="s">
        <v>405</v>
      </c>
      <c r="D481" s="2" t="s">
        <v>115</v>
      </c>
      <c r="E481" s="2" t="s">
        <v>17</v>
      </c>
      <c r="F481" s="6">
        <v>200000.0</v>
      </c>
      <c r="G481" s="7">
        <v>0.0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5" t="s">
        <v>12</v>
      </c>
      <c r="B482" s="5" t="s">
        <v>13</v>
      </c>
      <c r="C482" s="2" t="s">
        <v>406</v>
      </c>
      <c r="D482" s="2" t="s">
        <v>16</v>
      </c>
      <c r="E482" s="2" t="s">
        <v>96</v>
      </c>
      <c r="F482" s="6">
        <v>178000.0</v>
      </c>
      <c r="G482" s="7">
        <v>209450.0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5" t="s">
        <v>12</v>
      </c>
      <c r="B483" s="5" t="s">
        <v>8</v>
      </c>
      <c r="C483" s="2" t="s">
        <v>407</v>
      </c>
      <c r="D483" s="2" t="s">
        <v>16</v>
      </c>
      <c r="E483" s="2" t="s">
        <v>49</v>
      </c>
      <c r="F483" s="6">
        <v>700000.0</v>
      </c>
      <c r="G483" s="7">
        <v>0.0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5" t="s">
        <v>12</v>
      </c>
      <c r="B484" s="5" t="s">
        <v>13</v>
      </c>
      <c r="C484" s="2" t="s">
        <v>408</v>
      </c>
      <c r="D484" s="2" t="s">
        <v>16</v>
      </c>
      <c r="E484" s="2" t="s">
        <v>49</v>
      </c>
      <c r="F484" s="6">
        <v>114000.0</v>
      </c>
      <c r="G484" s="7">
        <v>0.0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5" t="s">
        <v>12</v>
      </c>
      <c r="B485" s="5" t="s">
        <v>13</v>
      </c>
      <c r="C485" s="2" t="s">
        <v>409</v>
      </c>
      <c r="D485" s="2" t="s">
        <v>48</v>
      </c>
      <c r="E485" s="2" t="s">
        <v>14</v>
      </c>
      <c r="F485" s="6">
        <v>0.0</v>
      </c>
      <c r="G485" s="7">
        <v>7941122.0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5" t="s">
        <v>7</v>
      </c>
      <c r="B486" s="5" t="s">
        <v>8</v>
      </c>
      <c r="C486" s="2" t="s">
        <v>410</v>
      </c>
      <c r="D486" s="2" t="s">
        <v>16</v>
      </c>
      <c r="E486" s="2" t="s">
        <v>11</v>
      </c>
      <c r="F486" s="6">
        <v>2000000.0</v>
      </c>
      <c r="G486" s="7">
        <v>0.0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5" t="s">
        <v>7</v>
      </c>
      <c r="B487" s="5" t="s">
        <v>13</v>
      </c>
      <c r="C487" s="2" t="s">
        <v>410</v>
      </c>
      <c r="D487" s="2" t="s">
        <v>16</v>
      </c>
      <c r="E487" s="2" t="s">
        <v>11</v>
      </c>
      <c r="F487" s="6">
        <v>2000000.0</v>
      </c>
      <c r="G487" s="7">
        <v>0.0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5" t="s">
        <v>12</v>
      </c>
      <c r="B488" s="5" t="s">
        <v>13</v>
      </c>
      <c r="C488" s="2" t="s">
        <v>410</v>
      </c>
      <c r="D488" s="2" t="s">
        <v>16</v>
      </c>
      <c r="E488" s="2" t="s">
        <v>14</v>
      </c>
      <c r="F488" s="6">
        <v>3.0E7</v>
      </c>
      <c r="G488" s="7">
        <v>4376.0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5" t="s">
        <v>12</v>
      </c>
      <c r="B489" s="5" t="s">
        <v>8</v>
      </c>
      <c r="C489" s="2" t="s">
        <v>410</v>
      </c>
      <c r="D489" s="2" t="s">
        <v>16</v>
      </c>
      <c r="E489" s="2" t="s">
        <v>11</v>
      </c>
      <c r="F489" s="6">
        <v>2000000.0</v>
      </c>
      <c r="G489" s="7">
        <v>1166953.0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5" t="s">
        <v>12</v>
      </c>
      <c r="B490" s="5" t="s">
        <v>13</v>
      </c>
      <c r="C490" s="2" t="s">
        <v>411</v>
      </c>
      <c r="D490" s="2" t="s">
        <v>16</v>
      </c>
      <c r="E490" s="2" t="s">
        <v>49</v>
      </c>
      <c r="F490" s="6">
        <v>0.0</v>
      </c>
      <c r="G490" s="7">
        <v>0.0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5" t="s">
        <v>12</v>
      </c>
      <c r="B491" s="5" t="s">
        <v>13</v>
      </c>
      <c r="C491" s="2" t="s">
        <v>412</v>
      </c>
      <c r="D491" s="2" t="s">
        <v>16</v>
      </c>
      <c r="E491" s="2" t="s">
        <v>14</v>
      </c>
      <c r="F491" s="6">
        <v>0.0</v>
      </c>
      <c r="G491" s="7">
        <v>0.0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5" t="s">
        <v>12</v>
      </c>
      <c r="B492" s="5" t="s">
        <v>13</v>
      </c>
      <c r="C492" s="2" t="s">
        <v>413</v>
      </c>
      <c r="D492" s="2" t="s">
        <v>16</v>
      </c>
      <c r="E492" s="2" t="s">
        <v>17</v>
      </c>
      <c r="F492" s="6">
        <v>0.0</v>
      </c>
      <c r="G492" s="7">
        <v>0.0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5" t="s">
        <v>12</v>
      </c>
      <c r="B493" s="5" t="s">
        <v>13</v>
      </c>
      <c r="C493" s="2" t="s">
        <v>414</v>
      </c>
      <c r="D493" s="2" t="s">
        <v>16</v>
      </c>
      <c r="E493" s="2" t="s">
        <v>55</v>
      </c>
      <c r="F493" s="6">
        <v>900000.0</v>
      </c>
      <c r="G493" s="7">
        <v>0.0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5" t="s">
        <v>12</v>
      </c>
      <c r="B494" s="5" t="s">
        <v>8</v>
      </c>
      <c r="C494" s="2" t="s">
        <v>414</v>
      </c>
      <c r="D494" s="2" t="s">
        <v>16</v>
      </c>
      <c r="E494" s="2" t="s">
        <v>14</v>
      </c>
      <c r="F494" s="6">
        <v>0.0</v>
      </c>
      <c r="G494" s="7">
        <v>0.0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5" t="s">
        <v>12</v>
      </c>
      <c r="B495" s="5" t="s">
        <v>13</v>
      </c>
      <c r="C495" s="2" t="s">
        <v>415</v>
      </c>
      <c r="D495" s="2" t="s">
        <v>16</v>
      </c>
      <c r="E495" s="2" t="s">
        <v>14</v>
      </c>
      <c r="F495" s="6">
        <v>0.0</v>
      </c>
      <c r="G495" s="7">
        <v>0.0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5" t="s">
        <v>12</v>
      </c>
      <c r="B496" s="5" t="s">
        <v>13</v>
      </c>
      <c r="C496" s="2" t="s">
        <v>416</v>
      </c>
      <c r="D496" s="2" t="s">
        <v>16</v>
      </c>
      <c r="E496" s="2" t="s">
        <v>14</v>
      </c>
      <c r="F496" s="6">
        <v>0.0</v>
      </c>
      <c r="G496" s="7">
        <v>0.0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5" t="s">
        <v>12</v>
      </c>
      <c r="B497" s="5" t="s">
        <v>13</v>
      </c>
      <c r="C497" s="2" t="s">
        <v>417</v>
      </c>
      <c r="D497" s="2" t="s">
        <v>16</v>
      </c>
      <c r="E497" s="2" t="s">
        <v>14</v>
      </c>
      <c r="F497" s="6">
        <v>0.0</v>
      </c>
      <c r="G497" s="7">
        <v>0.0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5" t="s">
        <v>12</v>
      </c>
      <c r="B498" s="5" t="s">
        <v>13</v>
      </c>
      <c r="C498" s="2" t="s">
        <v>418</v>
      </c>
      <c r="D498" s="2" t="s">
        <v>419</v>
      </c>
      <c r="E498" s="2" t="s">
        <v>49</v>
      </c>
      <c r="F498" s="6">
        <v>570000.0</v>
      </c>
      <c r="G498" s="7">
        <v>0.0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5" t="s">
        <v>12</v>
      </c>
      <c r="B499" s="5" t="s">
        <v>13</v>
      </c>
      <c r="C499" s="2" t="s">
        <v>420</v>
      </c>
      <c r="D499" s="2" t="s">
        <v>19</v>
      </c>
      <c r="E499" s="2" t="s">
        <v>17</v>
      </c>
      <c r="F499" s="6">
        <v>350000.0</v>
      </c>
      <c r="G499" s="7">
        <v>0.0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5" t="s">
        <v>12</v>
      </c>
      <c r="B500" s="5" t="s">
        <v>13</v>
      </c>
      <c r="C500" s="2" t="s">
        <v>421</v>
      </c>
      <c r="D500" s="2" t="s">
        <v>16</v>
      </c>
      <c r="E500" s="2" t="s">
        <v>14</v>
      </c>
      <c r="F500" s="6">
        <v>0.0</v>
      </c>
      <c r="G500" s="7">
        <v>0.0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5" t="s">
        <v>12</v>
      </c>
      <c r="B501" s="5" t="s">
        <v>13</v>
      </c>
      <c r="C501" s="2" t="s">
        <v>422</v>
      </c>
      <c r="D501" s="2" t="s">
        <v>16</v>
      </c>
      <c r="E501" s="2" t="s">
        <v>74</v>
      </c>
      <c r="F501" s="6">
        <v>1.0</v>
      </c>
      <c r="G501" s="7">
        <v>0.0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5" t="s">
        <v>12</v>
      </c>
      <c r="B502" s="5" t="s">
        <v>13</v>
      </c>
      <c r="C502" s="2" t="s">
        <v>423</v>
      </c>
      <c r="D502" s="2" t="s">
        <v>16</v>
      </c>
      <c r="E502" s="2" t="s">
        <v>49</v>
      </c>
      <c r="F502" s="6">
        <v>0.0</v>
      </c>
      <c r="G502" s="7">
        <v>0.0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5" t="s">
        <v>12</v>
      </c>
      <c r="B503" s="5" t="s">
        <v>13</v>
      </c>
      <c r="C503" s="2" t="s">
        <v>424</v>
      </c>
      <c r="D503" s="2" t="s">
        <v>419</v>
      </c>
      <c r="E503" s="2" t="s">
        <v>17</v>
      </c>
      <c r="F503" s="6">
        <v>350000.0</v>
      </c>
      <c r="G503" s="7">
        <v>0.0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5" t="s">
        <v>12</v>
      </c>
      <c r="B504" s="5" t="s">
        <v>13</v>
      </c>
      <c r="C504" s="2" t="s">
        <v>425</v>
      </c>
      <c r="D504" s="2" t="s">
        <v>16</v>
      </c>
      <c r="E504" s="2" t="s">
        <v>14</v>
      </c>
      <c r="F504" s="6">
        <v>0.0</v>
      </c>
      <c r="G504" s="7">
        <v>0.0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5" t="s">
        <v>12</v>
      </c>
      <c r="B505" s="5" t="s">
        <v>8</v>
      </c>
      <c r="C505" s="2" t="s">
        <v>426</v>
      </c>
      <c r="D505" s="2" t="s">
        <v>16</v>
      </c>
      <c r="E505" s="2" t="s">
        <v>14</v>
      </c>
      <c r="F505" s="6">
        <v>0.0</v>
      </c>
      <c r="G505" s="7">
        <v>0.0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5" t="s">
        <v>7</v>
      </c>
      <c r="B506" s="5" t="s">
        <v>13</v>
      </c>
      <c r="C506" s="2" t="s">
        <v>427</v>
      </c>
      <c r="D506" s="2" t="s">
        <v>37</v>
      </c>
      <c r="E506" s="2" t="s">
        <v>23</v>
      </c>
      <c r="F506" s="6">
        <v>2.0E7</v>
      </c>
      <c r="G506" s="7">
        <v>0.0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5" t="s">
        <v>12</v>
      </c>
      <c r="B507" s="5" t="s">
        <v>13</v>
      </c>
      <c r="C507" s="2" t="s">
        <v>427</v>
      </c>
      <c r="D507" s="2" t="s">
        <v>37</v>
      </c>
      <c r="E507" s="2" t="s">
        <v>17</v>
      </c>
      <c r="F507" s="6">
        <v>2.0E7</v>
      </c>
      <c r="G507" s="7">
        <v>1.64932554E7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5" t="s">
        <v>12</v>
      </c>
      <c r="B508" s="5" t="s">
        <v>13</v>
      </c>
      <c r="C508" s="2" t="s">
        <v>428</v>
      </c>
      <c r="D508" s="2" t="s">
        <v>37</v>
      </c>
      <c r="E508" s="2" t="s">
        <v>14</v>
      </c>
      <c r="F508" s="6">
        <v>0.0</v>
      </c>
      <c r="G508" s="7">
        <v>0.0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5" t="s">
        <v>7</v>
      </c>
      <c r="B509" s="5" t="s">
        <v>13</v>
      </c>
      <c r="C509" s="2" t="s">
        <v>429</v>
      </c>
      <c r="D509" s="2" t="s">
        <v>16</v>
      </c>
      <c r="E509" s="2" t="s">
        <v>173</v>
      </c>
      <c r="F509" s="6">
        <v>200000.0</v>
      </c>
      <c r="G509" s="7">
        <v>0.0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5" t="s">
        <v>12</v>
      </c>
      <c r="B510" s="5" t="s">
        <v>13</v>
      </c>
      <c r="C510" s="2" t="s">
        <v>429</v>
      </c>
      <c r="D510" s="2" t="s">
        <v>16</v>
      </c>
      <c r="E510" s="2" t="s">
        <v>11</v>
      </c>
      <c r="F510" s="6">
        <v>200000.0</v>
      </c>
      <c r="G510" s="7">
        <v>0.0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5" t="s">
        <v>12</v>
      </c>
      <c r="B511" s="5" t="s">
        <v>13</v>
      </c>
      <c r="C511" s="2" t="s">
        <v>430</v>
      </c>
      <c r="D511" s="2" t="s">
        <v>32</v>
      </c>
      <c r="E511" s="2" t="s">
        <v>49</v>
      </c>
      <c r="F511" s="6">
        <v>1400000.0</v>
      </c>
      <c r="G511" s="7">
        <v>637411.0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5" t="s">
        <v>12</v>
      </c>
      <c r="B512" s="5" t="s">
        <v>13</v>
      </c>
      <c r="C512" s="2" t="s">
        <v>431</v>
      </c>
      <c r="D512" s="2" t="s">
        <v>16</v>
      </c>
      <c r="E512" s="2" t="s">
        <v>14</v>
      </c>
      <c r="F512" s="6">
        <v>0.0</v>
      </c>
      <c r="G512" s="7">
        <v>0.0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5" t="s">
        <v>12</v>
      </c>
      <c r="B513" s="5" t="s">
        <v>13</v>
      </c>
      <c r="C513" s="2" t="s">
        <v>432</v>
      </c>
      <c r="D513" s="2" t="s">
        <v>16</v>
      </c>
      <c r="E513" s="2" t="s">
        <v>14</v>
      </c>
      <c r="F513" s="6">
        <v>24000.0</v>
      </c>
      <c r="G513" s="7">
        <v>0.0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5" t="s">
        <v>7</v>
      </c>
      <c r="B514" s="5" t="s">
        <v>13</v>
      </c>
      <c r="C514" s="2" t="s">
        <v>433</v>
      </c>
      <c r="D514" s="2" t="s">
        <v>88</v>
      </c>
      <c r="E514" s="2" t="s">
        <v>144</v>
      </c>
      <c r="F514" s="6">
        <v>1150000.0</v>
      </c>
      <c r="G514" s="7">
        <v>0.0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5" t="s">
        <v>12</v>
      </c>
      <c r="B515" s="5" t="s">
        <v>13</v>
      </c>
      <c r="C515" s="2" t="s">
        <v>433</v>
      </c>
      <c r="D515" s="2" t="s">
        <v>88</v>
      </c>
      <c r="E515" s="2" t="s">
        <v>49</v>
      </c>
      <c r="F515" s="6">
        <v>1150000.0</v>
      </c>
      <c r="G515" s="7">
        <v>638782.0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5" t="s">
        <v>12</v>
      </c>
      <c r="B516" s="5" t="s">
        <v>13</v>
      </c>
      <c r="C516" s="2" t="s">
        <v>434</v>
      </c>
      <c r="D516" s="2" t="s">
        <v>16</v>
      </c>
      <c r="E516" s="2" t="s">
        <v>14</v>
      </c>
      <c r="F516" s="6">
        <v>0.0</v>
      </c>
      <c r="G516" s="7">
        <v>0.0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5" t="s">
        <v>7</v>
      </c>
      <c r="B517" s="5" t="s">
        <v>8</v>
      </c>
      <c r="C517" s="2" t="s">
        <v>435</v>
      </c>
      <c r="D517" s="2" t="s">
        <v>16</v>
      </c>
      <c r="E517" s="2" t="s">
        <v>49</v>
      </c>
      <c r="F517" s="6">
        <v>0.0</v>
      </c>
      <c r="G517" s="7">
        <v>0.0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5" t="s">
        <v>12</v>
      </c>
      <c r="B518" s="5" t="s">
        <v>8</v>
      </c>
      <c r="C518" s="2" t="s">
        <v>435</v>
      </c>
      <c r="D518" s="2" t="s">
        <v>16</v>
      </c>
      <c r="E518" s="2" t="s">
        <v>49</v>
      </c>
      <c r="F518" s="6">
        <v>0.0</v>
      </c>
      <c r="G518" s="7">
        <v>0.0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5" t="s">
        <v>12</v>
      </c>
      <c r="B519" s="5" t="s">
        <v>13</v>
      </c>
      <c r="C519" s="2" t="s">
        <v>436</v>
      </c>
      <c r="D519" s="2" t="s">
        <v>16</v>
      </c>
      <c r="E519" s="2" t="s">
        <v>14</v>
      </c>
      <c r="F519" s="6">
        <v>0.0</v>
      </c>
      <c r="G519" s="7">
        <v>-950000.0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5" t="s">
        <v>12</v>
      </c>
      <c r="B520" s="5" t="s">
        <v>13</v>
      </c>
      <c r="C520" s="2" t="s">
        <v>437</v>
      </c>
      <c r="D520" s="2" t="s">
        <v>16</v>
      </c>
      <c r="E520" s="2" t="s">
        <v>14</v>
      </c>
      <c r="F520" s="6">
        <v>0.0</v>
      </c>
      <c r="G520" s="7">
        <v>0.0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5" t="s">
        <v>12</v>
      </c>
      <c r="B521" s="5" t="s">
        <v>13</v>
      </c>
      <c r="C521" s="2" t="s">
        <v>438</v>
      </c>
      <c r="D521" s="2" t="s">
        <v>32</v>
      </c>
      <c r="E521" s="2" t="s">
        <v>14</v>
      </c>
      <c r="F521" s="6">
        <v>0.0</v>
      </c>
      <c r="G521" s="7">
        <v>0.0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5" t="s">
        <v>12</v>
      </c>
      <c r="B522" s="5" t="s">
        <v>13</v>
      </c>
      <c r="C522" s="2" t="s">
        <v>439</v>
      </c>
      <c r="D522" s="2" t="s">
        <v>16</v>
      </c>
      <c r="E522" s="2" t="s">
        <v>84</v>
      </c>
      <c r="F522" s="6">
        <v>0.0</v>
      </c>
      <c r="G522" s="7">
        <v>0.0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5" t="s">
        <v>12</v>
      </c>
      <c r="B523" s="5" t="s">
        <v>13</v>
      </c>
      <c r="C523" s="2" t="s">
        <v>440</v>
      </c>
      <c r="D523" s="2" t="s">
        <v>16</v>
      </c>
      <c r="E523" s="2" t="s">
        <v>14</v>
      </c>
      <c r="F523" s="6">
        <v>0.0</v>
      </c>
      <c r="G523" s="7">
        <v>0.0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5" t="s">
        <v>7</v>
      </c>
      <c r="B524" s="5" t="s">
        <v>13</v>
      </c>
      <c r="C524" s="2" t="s">
        <v>441</v>
      </c>
      <c r="D524" s="2" t="s">
        <v>32</v>
      </c>
      <c r="E524" s="2" t="s">
        <v>49</v>
      </c>
      <c r="F524" s="6">
        <v>100000.0</v>
      </c>
      <c r="G524" s="7">
        <v>0.0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5" t="s">
        <v>12</v>
      </c>
      <c r="B525" s="5" t="s">
        <v>13</v>
      </c>
      <c r="C525" s="2" t="s">
        <v>441</v>
      </c>
      <c r="D525" s="2" t="s">
        <v>32</v>
      </c>
      <c r="E525" s="2" t="s">
        <v>49</v>
      </c>
      <c r="F525" s="6">
        <v>200000.0</v>
      </c>
      <c r="G525" s="7">
        <v>0.0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5" t="s">
        <v>12</v>
      </c>
      <c r="B526" s="5" t="s">
        <v>13</v>
      </c>
      <c r="C526" s="2" t="s">
        <v>442</v>
      </c>
      <c r="D526" s="2" t="s">
        <v>48</v>
      </c>
      <c r="E526" s="2" t="s">
        <v>14</v>
      </c>
      <c r="F526" s="6">
        <v>1165000.0</v>
      </c>
      <c r="G526" s="7">
        <v>-21948.0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5" t="s">
        <v>12</v>
      </c>
      <c r="B527" s="5" t="s">
        <v>13</v>
      </c>
      <c r="C527" s="2" t="s">
        <v>443</v>
      </c>
      <c r="D527" s="2" t="s">
        <v>16</v>
      </c>
      <c r="E527" s="2" t="s">
        <v>14</v>
      </c>
      <c r="F527" s="6">
        <v>0.0</v>
      </c>
      <c r="G527" s="7">
        <v>715200.0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5" t="s">
        <v>12</v>
      </c>
      <c r="B528" s="5" t="s">
        <v>13</v>
      </c>
      <c r="C528" s="2" t="s">
        <v>444</v>
      </c>
      <c r="D528" s="2" t="s">
        <v>16</v>
      </c>
      <c r="E528" s="2" t="s">
        <v>14</v>
      </c>
      <c r="F528" s="6">
        <v>0.0</v>
      </c>
      <c r="G528" s="7">
        <v>0.0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5" t="s">
        <v>12</v>
      </c>
      <c r="B529" s="5" t="s">
        <v>13</v>
      </c>
      <c r="C529" s="2" t="s">
        <v>445</v>
      </c>
      <c r="D529" s="2" t="s">
        <v>16</v>
      </c>
      <c r="E529" s="2" t="s">
        <v>14</v>
      </c>
      <c r="F529" s="6">
        <v>0.0</v>
      </c>
      <c r="G529" s="7">
        <v>0.0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5" t="s">
        <v>12</v>
      </c>
      <c r="B530" s="5" t="s">
        <v>8</v>
      </c>
      <c r="C530" s="2" t="s">
        <v>446</v>
      </c>
      <c r="D530" s="2" t="s">
        <v>16</v>
      </c>
      <c r="E530" s="2" t="s">
        <v>187</v>
      </c>
      <c r="F530" s="6">
        <v>1.0</v>
      </c>
      <c r="G530" s="7">
        <v>0.0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5" t="s">
        <v>12</v>
      </c>
      <c r="B531" s="5" t="s">
        <v>13</v>
      </c>
      <c r="C531" s="2" t="s">
        <v>447</v>
      </c>
      <c r="D531" s="2" t="s">
        <v>16</v>
      </c>
      <c r="E531" s="2" t="s">
        <v>14</v>
      </c>
      <c r="F531" s="6">
        <v>0.0</v>
      </c>
      <c r="G531" s="7">
        <v>0.0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5" t="s">
        <v>12</v>
      </c>
      <c r="B532" s="5" t="s">
        <v>13</v>
      </c>
      <c r="C532" s="2" t="s">
        <v>448</v>
      </c>
      <c r="D532" s="2" t="s">
        <v>16</v>
      </c>
      <c r="E532" s="2" t="s">
        <v>14</v>
      </c>
      <c r="F532" s="6">
        <v>148000.0</v>
      </c>
      <c r="G532" s="7">
        <v>0.0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5" t="s">
        <v>12</v>
      </c>
      <c r="B533" s="5" t="s">
        <v>8</v>
      </c>
      <c r="C533" s="2" t="s">
        <v>448</v>
      </c>
      <c r="D533" s="2" t="s">
        <v>16</v>
      </c>
      <c r="E533" s="2" t="s">
        <v>14</v>
      </c>
      <c r="F533" s="6">
        <v>0.0</v>
      </c>
      <c r="G533" s="7">
        <v>0.0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5" t="s">
        <v>7</v>
      </c>
      <c r="B534" s="5" t="s">
        <v>8</v>
      </c>
      <c r="C534" s="2" t="s">
        <v>449</v>
      </c>
      <c r="D534" s="2" t="s">
        <v>16</v>
      </c>
      <c r="E534" s="2" t="s">
        <v>14</v>
      </c>
      <c r="F534" s="6">
        <v>0.0</v>
      </c>
      <c r="G534" s="7">
        <v>0.0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5" t="s">
        <v>12</v>
      </c>
      <c r="B535" s="5" t="s">
        <v>13</v>
      </c>
      <c r="C535" s="2" t="s">
        <v>449</v>
      </c>
      <c r="D535" s="2" t="s">
        <v>16</v>
      </c>
      <c r="E535" s="2" t="s">
        <v>14</v>
      </c>
      <c r="F535" s="6">
        <v>0.0</v>
      </c>
      <c r="G535" s="7">
        <v>0.0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5" t="s">
        <v>12</v>
      </c>
      <c r="B536" s="5" t="s">
        <v>8</v>
      </c>
      <c r="C536" s="2" t="s">
        <v>449</v>
      </c>
      <c r="D536" s="2" t="s">
        <v>16</v>
      </c>
      <c r="E536" s="2" t="s">
        <v>14</v>
      </c>
      <c r="F536" s="6">
        <v>0.0</v>
      </c>
      <c r="G536" s="7">
        <v>0.0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5" t="s">
        <v>12</v>
      </c>
      <c r="B537" s="5" t="s">
        <v>13</v>
      </c>
      <c r="C537" s="2" t="s">
        <v>450</v>
      </c>
      <c r="D537" s="2" t="s">
        <v>16</v>
      </c>
      <c r="E537" s="2" t="s">
        <v>14</v>
      </c>
      <c r="F537" s="6">
        <v>200000.0</v>
      </c>
      <c r="G537" s="7">
        <v>0.0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5" t="s">
        <v>12</v>
      </c>
      <c r="B538" s="5" t="s">
        <v>8</v>
      </c>
      <c r="C538" s="2" t="s">
        <v>451</v>
      </c>
      <c r="D538" s="2" t="s">
        <v>16</v>
      </c>
      <c r="E538" s="2" t="s">
        <v>49</v>
      </c>
      <c r="F538" s="6">
        <v>0.0</v>
      </c>
      <c r="G538" s="7">
        <v>0.0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5" t="s">
        <v>12</v>
      </c>
      <c r="B539" s="5" t="s">
        <v>8</v>
      </c>
      <c r="C539" s="2" t="s">
        <v>452</v>
      </c>
      <c r="D539" s="2" t="s">
        <v>16</v>
      </c>
      <c r="E539" s="2" t="s">
        <v>49</v>
      </c>
      <c r="F539" s="6">
        <v>502000.0</v>
      </c>
      <c r="G539" s="7">
        <v>0.0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5" t="s">
        <v>12</v>
      </c>
      <c r="B540" s="5" t="s">
        <v>13</v>
      </c>
      <c r="C540" s="2" t="s">
        <v>453</v>
      </c>
      <c r="D540" s="2" t="s">
        <v>16</v>
      </c>
      <c r="E540" s="2" t="s">
        <v>14</v>
      </c>
      <c r="F540" s="6">
        <v>0.0</v>
      </c>
      <c r="G540" s="7">
        <v>0.0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5" t="s">
        <v>7</v>
      </c>
      <c r="B541" s="5" t="s">
        <v>13</v>
      </c>
      <c r="C541" s="2" t="s">
        <v>454</v>
      </c>
      <c r="D541" s="2" t="s">
        <v>37</v>
      </c>
      <c r="E541" s="2" t="s">
        <v>49</v>
      </c>
      <c r="F541" s="6">
        <v>1.0E7</v>
      </c>
      <c r="G541" s="7">
        <v>0.0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5" t="s">
        <v>12</v>
      </c>
      <c r="B542" s="5" t="s">
        <v>13</v>
      </c>
      <c r="C542" s="2" t="s">
        <v>454</v>
      </c>
      <c r="D542" s="2" t="s">
        <v>37</v>
      </c>
      <c r="E542" s="2" t="s">
        <v>49</v>
      </c>
      <c r="F542" s="6">
        <v>2.0E7</v>
      </c>
      <c r="G542" s="7">
        <v>4758286.0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5" t="s">
        <v>12</v>
      </c>
      <c r="B543" s="5" t="s">
        <v>13</v>
      </c>
      <c r="C543" s="2" t="s">
        <v>455</v>
      </c>
      <c r="D543" s="2" t="s">
        <v>16</v>
      </c>
      <c r="E543" s="2" t="s">
        <v>14</v>
      </c>
      <c r="F543" s="6">
        <v>0.0</v>
      </c>
      <c r="G543" s="7">
        <v>0.0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5" t="s">
        <v>12</v>
      </c>
      <c r="B544" s="5" t="s">
        <v>13</v>
      </c>
      <c r="C544" s="2" t="s">
        <v>456</v>
      </c>
      <c r="D544" s="2" t="s">
        <v>37</v>
      </c>
      <c r="E544" s="2" t="s">
        <v>14</v>
      </c>
      <c r="F544" s="6">
        <v>0.0</v>
      </c>
      <c r="G544" s="7">
        <v>0.0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5" t="s">
        <v>12</v>
      </c>
      <c r="B545" s="5" t="s">
        <v>13</v>
      </c>
      <c r="C545" s="2" t="s">
        <v>457</v>
      </c>
      <c r="D545" s="2" t="s">
        <v>16</v>
      </c>
      <c r="E545" s="2" t="s">
        <v>14</v>
      </c>
      <c r="F545" s="6">
        <v>100000.0</v>
      </c>
      <c r="G545" s="7">
        <v>0.0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5" t="s">
        <v>7</v>
      </c>
      <c r="B546" s="5" t="s">
        <v>13</v>
      </c>
      <c r="C546" s="2" t="s">
        <v>458</v>
      </c>
      <c r="D546" s="2" t="s">
        <v>32</v>
      </c>
      <c r="E546" s="2" t="s">
        <v>17</v>
      </c>
      <c r="F546" s="6">
        <v>500000.0</v>
      </c>
      <c r="G546" s="7">
        <v>0.0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5" t="s">
        <v>12</v>
      </c>
      <c r="B547" s="5" t="s">
        <v>13</v>
      </c>
      <c r="C547" s="2" t="s">
        <v>458</v>
      </c>
      <c r="D547" s="2" t="s">
        <v>32</v>
      </c>
      <c r="E547" s="2" t="s">
        <v>17</v>
      </c>
      <c r="F547" s="6">
        <v>3000000.0</v>
      </c>
      <c r="G547" s="7">
        <v>2364437.0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5" t="s">
        <v>12</v>
      </c>
      <c r="B548" s="5" t="s">
        <v>13</v>
      </c>
      <c r="C548" s="2" t="s">
        <v>459</v>
      </c>
      <c r="D548" s="2" t="s">
        <v>32</v>
      </c>
      <c r="E548" s="2" t="s">
        <v>14</v>
      </c>
      <c r="F548" s="6">
        <v>0.0</v>
      </c>
      <c r="G548" s="7">
        <v>478000.0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5" t="s">
        <v>7</v>
      </c>
      <c r="B549" s="5" t="s">
        <v>13</v>
      </c>
      <c r="C549" s="2" t="s">
        <v>460</v>
      </c>
      <c r="D549" s="2" t="s">
        <v>32</v>
      </c>
      <c r="E549" s="2" t="s">
        <v>144</v>
      </c>
      <c r="F549" s="6">
        <v>2750000.0</v>
      </c>
      <c r="G549" s="7">
        <v>0.0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5" t="s">
        <v>12</v>
      </c>
      <c r="B550" s="5" t="s">
        <v>13</v>
      </c>
      <c r="C550" s="2" t="s">
        <v>460</v>
      </c>
      <c r="D550" s="2" t="s">
        <v>32</v>
      </c>
      <c r="E550" s="2" t="s">
        <v>49</v>
      </c>
      <c r="F550" s="6">
        <v>2750000.0</v>
      </c>
      <c r="G550" s="7">
        <v>1072863.0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5" t="s">
        <v>12</v>
      </c>
      <c r="B551" s="5" t="s">
        <v>13</v>
      </c>
      <c r="C551" s="2" t="s">
        <v>461</v>
      </c>
      <c r="D551" s="2" t="s">
        <v>16</v>
      </c>
      <c r="E551" s="2" t="s">
        <v>14</v>
      </c>
      <c r="F551" s="6">
        <v>0.0</v>
      </c>
      <c r="G551" s="7">
        <v>0.0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5" t="s">
        <v>7</v>
      </c>
      <c r="B552" s="5" t="s">
        <v>13</v>
      </c>
      <c r="C552" s="2" t="s">
        <v>462</v>
      </c>
      <c r="D552" s="2" t="s">
        <v>37</v>
      </c>
      <c r="E552" s="2" t="s">
        <v>23</v>
      </c>
      <c r="F552" s="6">
        <v>6500000.0</v>
      </c>
      <c r="G552" s="7">
        <v>0.0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5" t="s">
        <v>12</v>
      </c>
      <c r="B553" s="5" t="s">
        <v>13</v>
      </c>
      <c r="C553" s="2" t="s">
        <v>462</v>
      </c>
      <c r="D553" s="2" t="s">
        <v>37</v>
      </c>
      <c r="E553" s="2" t="s">
        <v>17</v>
      </c>
      <c r="F553" s="6">
        <v>6500000.0</v>
      </c>
      <c r="G553" s="7">
        <v>4596903.0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5" t="s">
        <v>7</v>
      </c>
      <c r="B554" s="5" t="s">
        <v>13</v>
      </c>
      <c r="C554" s="2" t="s">
        <v>463</v>
      </c>
      <c r="D554" s="2" t="s">
        <v>32</v>
      </c>
      <c r="E554" s="2" t="s">
        <v>144</v>
      </c>
      <c r="F554" s="6">
        <v>6000000.0</v>
      </c>
      <c r="G554" s="7">
        <v>0.0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5" t="s">
        <v>12</v>
      </c>
      <c r="B555" s="5" t="s">
        <v>13</v>
      </c>
      <c r="C555" s="2" t="s">
        <v>463</v>
      </c>
      <c r="D555" s="2" t="s">
        <v>32</v>
      </c>
      <c r="E555" s="2" t="s">
        <v>49</v>
      </c>
      <c r="F555" s="6">
        <v>6000000.0</v>
      </c>
      <c r="G555" s="7">
        <v>654768.0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5" t="s">
        <v>12</v>
      </c>
      <c r="B556" s="5" t="s">
        <v>13</v>
      </c>
      <c r="C556" s="2" t="s">
        <v>464</v>
      </c>
      <c r="D556" s="2" t="s">
        <v>16</v>
      </c>
      <c r="E556" s="2" t="s">
        <v>14</v>
      </c>
      <c r="F556" s="6">
        <v>0.0</v>
      </c>
      <c r="G556" s="7">
        <v>0.0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5" t="s">
        <v>12</v>
      </c>
      <c r="B557" s="5" t="s">
        <v>13</v>
      </c>
      <c r="C557" s="2" t="s">
        <v>465</v>
      </c>
      <c r="D557" s="2" t="s">
        <v>16</v>
      </c>
      <c r="E557" s="2" t="s">
        <v>49</v>
      </c>
      <c r="F557" s="6">
        <v>0.0</v>
      </c>
      <c r="G557" s="7">
        <v>0.0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5" t="s">
        <v>12</v>
      </c>
      <c r="B558" s="5" t="s">
        <v>13</v>
      </c>
      <c r="C558" s="2" t="s">
        <v>466</v>
      </c>
      <c r="D558" s="2" t="s">
        <v>16</v>
      </c>
      <c r="E558" s="2" t="s">
        <v>14</v>
      </c>
      <c r="F558" s="6">
        <v>0.0</v>
      </c>
      <c r="G558" s="7">
        <v>0.0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5" t="s">
        <v>12</v>
      </c>
      <c r="B559" s="5" t="s">
        <v>8</v>
      </c>
      <c r="C559" s="2" t="s">
        <v>467</v>
      </c>
      <c r="D559" s="2" t="s">
        <v>16</v>
      </c>
      <c r="E559" s="2" t="s">
        <v>14</v>
      </c>
      <c r="F559" s="6">
        <v>1.0</v>
      </c>
      <c r="G559" s="7">
        <v>0.0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5" t="s">
        <v>7</v>
      </c>
      <c r="B560" s="5" t="s">
        <v>13</v>
      </c>
      <c r="C560" s="2" t="s">
        <v>468</v>
      </c>
      <c r="D560" s="2" t="s">
        <v>32</v>
      </c>
      <c r="E560" s="2" t="s">
        <v>17</v>
      </c>
      <c r="F560" s="6">
        <v>500000.0</v>
      </c>
      <c r="G560" s="7">
        <v>0.0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5" t="s">
        <v>12</v>
      </c>
      <c r="B561" s="5" t="s">
        <v>13</v>
      </c>
      <c r="C561" s="2" t="s">
        <v>468</v>
      </c>
      <c r="D561" s="2" t="s">
        <v>32</v>
      </c>
      <c r="E561" s="2" t="s">
        <v>17</v>
      </c>
      <c r="F561" s="6">
        <v>500000.0</v>
      </c>
      <c r="G561" s="7">
        <v>16553.0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5" t="s">
        <v>12</v>
      </c>
      <c r="B562" s="5" t="s">
        <v>13</v>
      </c>
      <c r="C562" s="2" t="s">
        <v>469</v>
      </c>
      <c r="D562" s="2" t="s">
        <v>16</v>
      </c>
      <c r="E562" s="2" t="s">
        <v>14</v>
      </c>
      <c r="F562" s="6">
        <v>0.0</v>
      </c>
      <c r="G562" s="7">
        <v>-3068000.0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5" t="s">
        <v>12</v>
      </c>
      <c r="B563" s="5" t="s">
        <v>13</v>
      </c>
      <c r="C563" s="2" t="s">
        <v>470</v>
      </c>
      <c r="D563" s="2" t="s">
        <v>16</v>
      </c>
      <c r="E563" s="2" t="s">
        <v>14</v>
      </c>
      <c r="F563" s="6">
        <v>0.0</v>
      </c>
      <c r="G563" s="7">
        <v>0.0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5" t="s">
        <v>7</v>
      </c>
      <c r="B564" s="5" t="s">
        <v>13</v>
      </c>
      <c r="C564" s="2" t="s">
        <v>471</v>
      </c>
      <c r="D564" s="2" t="s">
        <v>88</v>
      </c>
      <c r="E564" s="2" t="s">
        <v>23</v>
      </c>
      <c r="F564" s="6">
        <v>1000000.0</v>
      </c>
      <c r="G564" s="7">
        <v>0.0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5" t="s">
        <v>12</v>
      </c>
      <c r="B565" s="5" t="s">
        <v>13</v>
      </c>
      <c r="C565" s="2" t="s">
        <v>471</v>
      </c>
      <c r="D565" s="2" t="s">
        <v>88</v>
      </c>
      <c r="E565" s="2" t="s">
        <v>17</v>
      </c>
      <c r="F565" s="6">
        <v>1000000.0</v>
      </c>
      <c r="G565" s="7">
        <v>191699.0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5" t="s">
        <v>12</v>
      </c>
      <c r="B566" s="5" t="s">
        <v>13</v>
      </c>
      <c r="C566" s="2" t="s">
        <v>472</v>
      </c>
      <c r="D566" s="2" t="s">
        <v>16</v>
      </c>
      <c r="E566" s="2" t="s">
        <v>14</v>
      </c>
      <c r="F566" s="6">
        <v>0.0</v>
      </c>
      <c r="G566" s="7">
        <v>0.0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5" t="s">
        <v>12</v>
      </c>
      <c r="B567" s="5" t="s">
        <v>13</v>
      </c>
      <c r="C567" s="2" t="s">
        <v>473</v>
      </c>
      <c r="D567" s="2" t="s">
        <v>16</v>
      </c>
      <c r="E567" s="2" t="s">
        <v>14</v>
      </c>
      <c r="F567" s="6">
        <v>0.0</v>
      </c>
      <c r="G567" s="7">
        <v>0.0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5" t="s">
        <v>12</v>
      </c>
      <c r="B568" s="5" t="s">
        <v>13</v>
      </c>
      <c r="C568" s="2" t="s">
        <v>83</v>
      </c>
      <c r="D568" s="2" t="s">
        <v>16</v>
      </c>
      <c r="E568" s="2" t="s">
        <v>14</v>
      </c>
      <c r="F568" s="6">
        <v>0.0</v>
      </c>
      <c r="G568" s="7">
        <v>0.0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5" t="s">
        <v>12</v>
      </c>
      <c r="B569" s="5" t="s">
        <v>8</v>
      </c>
      <c r="C569" s="2" t="s">
        <v>474</v>
      </c>
      <c r="D569" s="2" t="s">
        <v>16</v>
      </c>
      <c r="E569" s="2" t="s">
        <v>14</v>
      </c>
      <c r="F569" s="6">
        <v>0.0</v>
      </c>
      <c r="G569" s="7">
        <v>0.0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5" t="s">
        <v>12</v>
      </c>
      <c r="B570" s="5" t="s">
        <v>13</v>
      </c>
      <c r="C570" s="2" t="s">
        <v>475</v>
      </c>
      <c r="D570" s="2" t="s">
        <v>16</v>
      </c>
      <c r="E570" s="2" t="s">
        <v>14</v>
      </c>
      <c r="F570" s="6">
        <v>0.0</v>
      </c>
      <c r="G570" s="7">
        <v>0.0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5" t="s">
        <v>7</v>
      </c>
      <c r="B571" s="5" t="s">
        <v>13</v>
      </c>
      <c r="C571" s="2" t="s">
        <v>476</v>
      </c>
      <c r="D571" s="2" t="s">
        <v>32</v>
      </c>
      <c r="E571" s="2" t="s">
        <v>173</v>
      </c>
      <c r="F571" s="6">
        <v>2500000.0</v>
      </c>
      <c r="G571" s="7">
        <v>0.0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5" t="s">
        <v>12</v>
      </c>
      <c r="B572" s="5" t="s">
        <v>13</v>
      </c>
      <c r="C572" s="2" t="s">
        <v>476</v>
      </c>
      <c r="D572" s="2" t="s">
        <v>32</v>
      </c>
      <c r="E572" s="2" t="s">
        <v>11</v>
      </c>
      <c r="F572" s="6">
        <v>2500000.0</v>
      </c>
      <c r="G572" s="7">
        <v>100597.0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5" t="s">
        <v>12</v>
      </c>
      <c r="B573" s="5" t="s">
        <v>13</v>
      </c>
      <c r="C573" s="2" t="s">
        <v>477</v>
      </c>
      <c r="D573" s="2" t="s">
        <v>16</v>
      </c>
      <c r="E573" s="2" t="s">
        <v>14</v>
      </c>
      <c r="F573" s="6">
        <v>0.0</v>
      </c>
      <c r="G573" s="7">
        <v>1987668.0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5" t="s">
        <v>12</v>
      </c>
      <c r="B574" s="5" t="s">
        <v>13</v>
      </c>
      <c r="C574" s="2" t="s">
        <v>478</v>
      </c>
      <c r="D574" s="2" t="s">
        <v>16</v>
      </c>
      <c r="E574" s="2" t="s">
        <v>14</v>
      </c>
      <c r="F574" s="6">
        <v>0.0</v>
      </c>
      <c r="G574" s="7">
        <v>0.0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5" t="s">
        <v>12</v>
      </c>
      <c r="B575" s="5" t="s">
        <v>13</v>
      </c>
      <c r="C575" s="2" t="s">
        <v>479</v>
      </c>
      <c r="D575" s="2" t="s">
        <v>16</v>
      </c>
      <c r="E575" s="2" t="s">
        <v>14</v>
      </c>
      <c r="F575" s="6">
        <v>0.0</v>
      </c>
      <c r="G575" s="7">
        <v>0.0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5" t="s">
        <v>12</v>
      </c>
      <c r="B576" s="5" t="s">
        <v>13</v>
      </c>
      <c r="C576" s="2" t="s">
        <v>480</v>
      </c>
      <c r="D576" s="2" t="s">
        <v>16</v>
      </c>
      <c r="E576" s="2" t="s">
        <v>14</v>
      </c>
      <c r="F576" s="6">
        <v>0.0</v>
      </c>
      <c r="G576" s="7">
        <v>0.0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5" t="s">
        <v>12</v>
      </c>
      <c r="B577" s="5" t="s">
        <v>13</v>
      </c>
      <c r="C577" s="2" t="s">
        <v>481</v>
      </c>
      <c r="D577" s="2" t="s">
        <v>16</v>
      </c>
      <c r="E577" s="2" t="s">
        <v>14</v>
      </c>
      <c r="F577" s="6">
        <v>0.0</v>
      </c>
      <c r="G577" s="7">
        <v>0.0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5" t="s">
        <v>12</v>
      </c>
      <c r="B578" s="5" t="s">
        <v>8</v>
      </c>
      <c r="C578" s="2" t="s">
        <v>482</v>
      </c>
      <c r="D578" s="2" t="s">
        <v>16</v>
      </c>
      <c r="E578" s="2" t="s">
        <v>14</v>
      </c>
      <c r="F578" s="6">
        <v>1284725.0</v>
      </c>
      <c r="G578" s="7">
        <v>0.0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5" t="s">
        <v>7</v>
      </c>
      <c r="B579" s="5" t="s">
        <v>8</v>
      </c>
      <c r="C579" s="2" t="s">
        <v>483</v>
      </c>
      <c r="D579" s="2" t="s">
        <v>48</v>
      </c>
      <c r="E579" s="2" t="s">
        <v>14</v>
      </c>
      <c r="F579" s="6">
        <v>0.0</v>
      </c>
      <c r="G579" s="7">
        <v>0.0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5" t="s">
        <v>7</v>
      </c>
      <c r="B580" s="5" t="s">
        <v>13</v>
      </c>
      <c r="C580" s="2" t="s">
        <v>483</v>
      </c>
      <c r="D580" s="2" t="s">
        <v>48</v>
      </c>
      <c r="E580" s="2" t="s">
        <v>14</v>
      </c>
      <c r="F580" s="6">
        <v>1850000.0</v>
      </c>
      <c r="G580" s="7">
        <v>0.0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5" t="s">
        <v>12</v>
      </c>
      <c r="B581" s="5" t="s">
        <v>13</v>
      </c>
      <c r="C581" s="2" t="s">
        <v>483</v>
      </c>
      <c r="D581" s="2" t="s">
        <v>48</v>
      </c>
      <c r="E581" s="2" t="s">
        <v>14</v>
      </c>
      <c r="F581" s="6">
        <v>1970000.0</v>
      </c>
      <c r="G581" s="7">
        <v>0.0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5" t="s">
        <v>12</v>
      </c>
      <c r="B582" s="5" t="s">
        <v>8</v>
      </c>
      <c r="C582" s="2" t="s">
        <v>483</v>
      </c>
      <c r="D582" s="2" t="s">
        <v>48</v>
      </c>
      <c r="E582" s="2" t="s">
        <v>14</v>
      </c>
      <c r="F582" s="6">
        <v>0.0</v>
      </c>
      <c r="G582" s="7">
        <v>0.0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5" t="s">
        <v>12</v>
      </c>
      <c r="B583" s="5" t="s">
        <v>13</v>
      </c>
      <c r="C583" s="2" t="s">
        <v>484</v>
      </c>
      <c r="D583" s="2" t="s">
        <v>16</v>
      </c>
      <c r="E583" s="2" t="s">
        <v>14</v>
      </c>
      <c r="F583" s="6">
        <v>0.0</v>
      </c>
      <c r="G583" s="7">
        <v>0.0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5" t="s">
        <v>12</v>
      </c>
      <c r="B584" s="5" t="s">
        <v>13</v>
      </c>
      <c r="C584" s="2" t="s">
        <v>485</v>
      </c>
      <c r="D584" s="2" t="s">
        <v>16</v>
      </c>
      <c r="E584" s="2" t="s">
        <v>14</v>
      </c>
      <c r="F584" s="6">
        <v>912000.0</v>
      </c>
      <c r="G584" s="7">
        <v>906875.0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5" t="s">
        <v>12</v>
      </c>
      <c r="B585" s="5" t="s">
        <v>8</v>
      </c>
      <c r="C585" s="2" t="s">
        <v>485</v>
      </c>
      <c r="D585" s="2" t="s">
        <v>16</v>
      </c>
      <c r="E585" s="2" t="s">
        <v>14</v>
      </c>
      <c r="F585" s="6">
        <v>1284725.0</v>
      </c>
      <c r="G585" s="7">
        <v>9735.0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5" t="s">
        <v>7</v>
      </c>
      <c r="B586" s="5" t="s">
        <v>13</v>
      </c>
      <c r="C586" s="2" t="s">
        <v>486</v>
      </c>
      <c r="D586" s="2" t="s">
        <v>48</v>
      </c>
      <c r="E586" s="2" t="s">
        <v>144</v>
      </c>
      <c r="F586" s="6">
        <v>738000.0</v>
      </c>
      <c r="G586" s="7">
        <v>0.0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5" t="s">
        <v>12</v>
      </c>
      <c r="B587" s="5" t="s">
        <v>13</v>
      </c>
      <c r="C587" s="2" t="s">
        <v>486</v>
      </c>
      <c r="D587" s="2" t="s">
        <v>48</v>
      </c>
      <c r="E587" s="2" t="s">
        <v>49</v>
      </c>
      <c r="F587" s="6">
        <v>738000.0</v>
      </c>
      <c r="G587" s="7">
        <v>365918.0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5" t="s">
        <v>12</v>
      </c>
      <c r="B588" s="5" t="s">
        <v>13</v>
      </c>
      <c r="C588" s="2" t="s">
        <v>487</v>
      </c>
      <c r="D588" s="2" t="s">
        <v>16</v>
      </c>
      <c r="E588" s="2" t="s">
        <v>14</v>
      </c>
      <c r="F588" s="6">
        <v>0.0</v>
      </c>
      <c r="G588" s="7">
        <v>0.0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5" t="s">
        <v>12</v>
      </c>
      <c r="B589" s="5" t="s">
        <v>13</v>
      </c>
      <c r="C589" s="2" t="s">
        <v>488</v>
      </c>
      <c r="D589" s="2" t="s">
        <v>16</v>
      </c>
      <c r="E589" s="2" t="s">
        <v>14</v>
      </c>
      <c r="F589" s="6">
        <v>0.0</v>
      </c>
      <c r="G589" s="7">
        <v>0.0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5" t="s">
        <v>12</v>
      </c>
      <c r="B590" s="5" t="s">
        <v>13</v>
      </c>
      <c r="C590" s="2" t="s">
        <v>489</v>
      </c>
      <c r="D590" s="2" t="s">
        <v>16</v>
      </c>
      <c r="E590" s="2" t="s">
        <v>49</v>
      </c>
      <c r="F590" s="6">
        <v>200000.0</v>
      </c>
      <c r="G590" s="7">
        <v>0.0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5" t="s">
        <v>12</v>
      </c>
      <c r="B591" s="5" t="s">
        <v>13</v>
      </c>
      <c r="C591" s="2" t="s">
        <v>490</v>
      </c>
      <c r="D591" s="2" t="s">
        <v>16</v>
      </c>
      <c r="E591" s="2" t="s">
        <v>14</v>
      </c>
      <c r="F591" s="6">
        <v>0.0</v>
      </c>
      <c r="G591" s="7">
        <v>0.0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5" t="s">
        <v>12</v>
      </c>
      <c r="B592" s="5" t="s">
        <v>8</v>
      </c>
      <c r="C592" s="2" t="s">
        <v>491</v>
      </c>
      <c r="D592" s="2" t="s">
        <v>16</v>
      </c>
      <c r="E592" s="2" t="s">
        <v>14</v>
      </c>
      <c r="F592" s="6">
        <v>0.0</v>
      </c>
      <c r="G592" s="7">
        <v>0.0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5" t="s">
        <v>7</v>
      </c>
      <c r="B593" s="5" t="s">
        <v>13</v>
      </c>
      <c r="C593" s="2" t="s">
        <v>492</v>
      </c>
      <c r="D593" s="2" t="s">
        <v>32</v>
      </c>
      <c r="E593" s="2" t="s">
        <v>23</v>
      </c>
      <c r="F593" s="6">
        <v>3260000.0</v>
      </c>
      <c r="G593" s="7">
        <v>0.0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5" t="s">
        <v>7</v>
      </c>
      <c r="B594" s="5" t="s">
        <v>8</v>
      </c>
      <c r="C594" s="2" t="s">
        <v>492</v>
      </c>
      <c r="D594" s="2" t="s">
        <v>32</v>
      </c>
      <c r="E594" s="2" t="s">
        <v>14</v>
      </c>
      <c r="F594" s="6">
        <v>0.0</v>
      </c>
      <c r="G594" s="7">
        <v>6432700.0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5" t="s">
        <v>12</v>
      </c>
      <c r="B595" s="5" t="s">
        <v>13</v>
      </c>
      <c r="C595" s="2" t="s">
        <v>492</v>
      </c>
      <c r="D595" s="2" t="s">
        <v>32</v>
      </c>
      <c r="E595" s="2" t="s">
        <v>17</v>
      </c>
      <c r="F595" s="6">
        <v>3260000.0</v>
      </c>
      <c r="G595" s="7">
        <v>1090860.0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5" t="s">
        <v>12</v>
      </c>
      <c r="B596" s="5" t="s">
        <v>13</v>
      </c>
      <c r="C596" s="2" t="s">
        <v>493</v>
      </c>
      <c r="D596" s="2" t="s">
        <v>16</v>
      </c>
      <c r="E596" s="2" t="s">
        <v>14</v>
      </c>
      <c r="F596" s="6">
        <v>0.0</v>
      </c>
      <c r="G596" s="7">
        <v>0.0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5" t="s">
        <v>7</v>
      </c>
      <c r="B597" s="5" t="s">
        <v>13</v>
      </c>
      <c r="C597" s="2" t="s">
        <v>494</v>
      </c>
      <c r="D597" s="2" t="s">
        <v>32</v>
      </c>
      <c r="E597" s="2" t="s">
        <v>23</v>
      </c>
      <c r="F597" s="6">
        <v>320000.0</v>
      </c>
      <c r="G597" s="7">
        <v>0.0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5" t="s">
        <v>12</v>
      </c>
      <c r="B598" s="5" t="s">
        <v>13</v>
      </c>
      <c r="C598" s="2" t="s">
        <v>494</v>
      </c>
      <c r="D598" s="2" t="s">
        <v>32</v>
      </c>
      <c r="E598" s="2" t="s">
        <v>17</v>
      </c>
      <c r="F598" s="6">
        <v>320000.0</v>
      </c>
      <c r="G598" s="7">
        <v>0.0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5" t="s">
        <v>12</v>
      </c>
      <c r="B599" s="5" t="s">
        <v>13</v>
      </c>
      <c r="C599" s="2" t="s">
        <v>495</v>
      </c>
      <c r="D599" s="2" t="s">
        <v>16</v>
      </c>
      <c r="E599" s="2" t="s">
        <v>14</v>
      </c>
      <c r="F599" s="6">
        <v>0.0</v>
      </c>
      <c r="G599" s="7">
        <v>0.0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5" t="s">
        <v>12</v>
      </c>
      <c r="B600" s="5" t="s">
        <v>13</v>
      </c>
      <c r="C600" s="2" t="s">
        <v>496</v>
      </c>
      <c r="D600" s="2" t="s">
        <v>16</v>
      </c>
      <c r="E600" s="2" t="s">
        <v>14</v>
      </c>
      <c r="F600" s="6">
        <v>0.0</v>
      </c>
      <c r="G600" s="7">
        <v>0.0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5" t="s">
        <v>12</v>
      </c>
      <c r="B601" s="5" t="s">
        <v>8</v>
      </c>
      <c r="C601" s="2" t="s">
        <v>497</v>
      </c>
      <c r="D601" s="2" t="s">
        <v>48</v>
      </c>
      <c r="E601" s="2" t="s">
        <v>11</v>
      </c>
      <c r="F601" s="6">
        <v>1110000.0</v>
      </c>
      <c r="G601" s="7">
        <v>0.0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5" t="s">
        <v>12</v>
      </c>
      <c r="B602" s="5" t="s">
        <v>13</v>
      </c>
      <c r="C602" s="2" t="s">
        <v>498</v>
      </c>
      <c r="D602" s="2" t="s">
        <v>16</v>
      </c>
      <c r="E602" s="2" t="s">
        <v>14</v>
      </c>
      <c r="F602" s="6">
        <v>0.0</v>
      </c>
      <c r="G602" s="7">
        <v>0.0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5" t="s">
        <v>12</v>
      </c>
      <c r="B603" s="5" t="s">
        <v>13</v>
      </c>
      <c r="C603" s="2" t="s">
        <v>499</v>
      </c>
      <c r="D603" s="2" t="s">
        <v>16</v>
      </c>
      <c r="E603" s="2" t="s">
        <v>14</v>
      </c>
      <c r="F603" s="6">
        <v>0.0</v>
      </c>
      <c r="G603" s="7">
        <v>0.0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5" t="s">
        <v>7</v>
      </c>
      <c r="B604" s="5" t="s">
        <v>13</v>
      </c>
      <c r="C604" s="2" t="s">
        <v>500</v>
      </c>
      <c r="D604" s="2" t="s">
        <v>10</v>
      </c>
      <c r="E604" s="2" t="s">
        <v>14</v>
      </c>
      <c r="F604" s="6">
        <v>0.0</v>
      </c>
      <c r="G604" s="7">
        <v>0.0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5" t="s">
        <v>12</v>
      </c>
      <c r="B605" s="5" t="s">
        <v>13</v>
      </c>
      <c r="C605" s="2" t="s">
        <v>500</v>
      </c>
      <c r="D605" s="2" t="s">
        <v>10</v>
      </c>
      <c r="E605" s="2" t="s">
        <v>14</v>
      </c>
      <c r="F605" s="6">
        <v>0.0</v>
      </c>
      <c r="G605" s="7">
        <v>0.0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5" t="s">
        <v>12</v>
      </c>
      <c r="B606" s="5" t="s">
        <v>13</v>
      </c>
      <c r="C606" s="2" t="s">
        <v>501</v>
      </c>
      <c r="D606" s="2" t="s">
        <v>419</v>
      </c>
      <c r="E606" s="2" t="s">
        <v>11</v>
      </c>
      <c r="F606" s="6">
        <v>350000.0</v>
      </c>
      <c r="G606" s="7">
        <v>0.0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5" t="s">
        <v>7</v>
      </c>
      <c r="B607" s="5" t="s">
        <v>13</v>
      </c>
      <c r="C607" s="2" t="s">
        <v>502</v>
      </c>
      <c r="D607" s="2" t="s">
        <v>32</v>
      </c>
      <c r="E607" s="2" t="s">
        <v>14</v>
      </c>
      <c r="F607" s="6">
        <v>0.0</v>
      </c>
      <c r="G607" s="7">
        <v>0.0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5" t="s">
        <v>12</v>
      </c>
      <c r="B608" s="5" t="s">
        <v>13</v>
      </c>
      <c r="C608" s="2" t="s">
        <v>502</v>
      </c>
      <c r="D608" s="2" t="s">
        <v>32</v>
      </c>
      <c r="E608" s="2" t="s">
        <v>14</v>
      </c>
      <c r="F608" s="6">
        <v>0.0</v>
      </c>
      <c r="G608" s="7">
        <v>0.0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5" t="s">
        <v>12</v>
      </c>
      <c r="B609" s="5" t="s">
        <v>13</v>
      </c>
      <c r="C609" s="2" t="s">
        <v>503</v>
      </c>
      <c r="D609" s="2" t="s">
        <v>32</v>
      </c>
      <c r="E609" s="2" t="s">
        <v>14</v>
      </c>
      <c r="F609" s="6">
        <v>0.0</v>
      </c>
      <c r="G609" s="7">
        <v>0.0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5" t="s">
        <v>12</v>
      </c>
      <c r="B610" s="5" t="s">
        <v>13</v>
      </c>
      <c r="C610" s="2" t="s">
        <v>504</v>
      </c>
      <c r="D610" s="2" t="s">
        <v>16</v>
      </c>
      <c r="E610" s="2" t="s">
        <v>14</v>
      </c>
      <c r="F610" s="6">
        <v>58000.0</v>
      </c>
      <c r="G610" s="7">
        <v>0.0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5" t="s">
        <v>7</v>
      </c>
      <c r="B611" s="5" t="s">
        <v>13</v>
      </c>
      <c r="C611" s="2" t="s">
        <v>505</v>
      </c>
      <c r="D611" s="2" t="s">
        <v>16</v>
      </c>
      <c r="E611" s="2" t="s">
        <v>49</v>
      </c>
      <c r="F611" s="6">
        <v>100000.0</v>
      </c>
      <c r="G611" s="7">
        <v>0.0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5" t="s">
        <v>12</v>
      </c>
      <c r="B612" s="5" t="s">
        <v>13</v>
      </c>
      <c r="C612" s="2" t="s">
        <v>505</v>
      </c>
      <c r="D612" s="2" t="s">
        <v>16</v>
      </c>
      <c r="E612" s="2" t="s">
        <v>49</v>
      </c>
      <c r="F612" s="6">
        <v>150000.0</v>
      </c>
      <c r="G612" s="7">
        <v>0.0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5" t="s">
        <v>7</v>
      </c>
      <c r="B613" s="5" t="s">
        <v>13</v>
      </c>
      <c r="C613" s="2" t="s">
        <v>506</v>
      </c>
      <c r="D613" s="2" t="s">
        <v>32</v>
      </c>
      <c r="E613" s="2" t="s">
        <v>144</v>
      </c>
      <c r="F613" s="6">
        <v>1600000.0</v>
      </c>
      <c r="G613" s="7">
        <v>0.0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5" t="s">
        <v>12</v>
      </c>
      <c r="B614" s="5" t="s">
        <v>13</v>
      </c>
      <c r="C614" s="2" t="s">
        <v>506</v>
      </c>
      <c r="D614" s="2" t="s">
        <v>32</v>
      </c>
      <c r="E614" s="2" t="s">
        <v>49</v>
      </c>
      <c r="F614" s="6">
        <v>1695000.0</v>
      </c>
      <c r="G614" s="7">
        <v>1281095.0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5" t="s">
        <v>12</v>
      </c>
      <c r="B615" s="5" t="s">
        <v>13</v>
      </c>
      <c r="C615" s="2" t="s">
        <v>507</v>
      </c>
      <c r="D615" s="2" t="s">
        <v>32</v>
      </c>
      <c r="E615" s="2" t="s">
        <v>14</v>
      </c>
      <c r="F615" s="6">
        <v>0.0</v>
      </c>
      <c r="G615" s="7">
        <v>3100000.0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5" t="s">
        <v>7</v>
      </c>
      <c r="B616" s="5" t="s">
        <v>13</v>
      </c>
      <c r="C616" s="2" t="s">
        <v>508</v>
      </c>
      <c r="D616" s="2" t="s">
        <v>32</v>
      </c>
      <c r="E616" s="2" t="s">
        <v>11</v>
      </c>
      <c r="F616" s="6">
        <v>0.0</v>
      </c>
      <c r="G616" s="7">
        <v>0.0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5" t="s">
        <v>12</v>
      </c>
      <c r="B617" s="5" t="s">
        <v>13</v>
      </c>
      <c r="C617" s="2" t="s">
        <v>508</v>
      </c>
      <c r="D617" s="2" t="s">
        <v>32</v>
      </c>
      <c r="E617" s="2" t="s">
        <v>11</v>
      </c>
      <c r="F617" s="6">
        <v>5000000.0</v>
      </c>
      <c r="G617" s="7">
        <v>2587528.0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5" t="s">
        <v>12</v>
      </c>
      <c r="B618" s="5" t="s">
        <v>13</v>
      </c>
      <c r="C618" s="2" t="s">
        <v>509</v>
      </c>
      <c r="D618" s="2" t="s">
        <v>16</v>
      </c>
      <c r="E618" s="2" t="s">
        <v>14</v>
      </c>
      <c r="F618" s="6">
        <v>0.0</v>
      </c>
      <c r="G618" s="7">
        <v>0.0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5" t="s">
        <v>12</v>
      </c>
      <c r="B619" s="5" t="s">
        <v>13</v>
      </c>
      <c r="C619" s="2" t="s">
        <v>510</v>
      </c>
      <c r="D619" s="2" t="s">
        <v>16</v>
      </c>
      <c r="E619" s="2" t="s">
        <v>49</v>
      </c>
      <c r="F619" s="6">
        <v>0.0</v>
      </c>
      <c r="G619" s="7">
        <v>0.0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5" t="s">
        <v>7</v>
      </c>
      <c r="B620" s="5" t="s">
        <v>13</v>
      </c>
      <c r="C620" s="2" t="s">
        <v>511</v>
      </c>
      <c r="D620" s="2" t="s">
        <v>16</v>
      </c>
      <c r="E620" s="2" t="s">
        <v>23</v>
      </c>
      <c r="F620" s="6">
        <v>2000000.0</v>
      </c>
      <c r="G620" s="7">
        <v>0.0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5" t="s">
        <v>12</v>
      </c>
      <c r="B621" s="5" t="s">
        <v>13</v>
      </c>
      <c r="C621" s="2" t="s">
        <v>511</v>
      </c>
      <c r="D621" s="2" t="s">
        <v>16</v>
      </c>
      <c r="E621" s="2" t="s">
        <v>17</v>
      </c>
      <c r="F621" s="6">
        <v>2000000.0</v>
      </c>
      <c r="G621" s="7">
        <v>622229.5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5" t="s">
        <v>12</v>
      </c>
      <c r="B622" s="5" t="s">
        <v>13</v>
      </c>
      <c r="C622" s="2" t="s">
        <v>512</v>
      </c>
      <c r="D622" s="2" t="s">
        <v>16</v>
      </c>
      <c r="E622" s="2" t="s">
        <v>14</v>
      </c>
      <c r="F622" s="6">
        <v>0.0</v>
      </c>
      <c r="G622" s="7">
        <v>697180.0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5" t="s">
        <v>12</v>
      </c>
      <c r="B623" s="5" t="s">
        <v>13</v>
      </c>
      <c r="C623" s="2" t="s">
        <v>513</v>
      </c>
      <c r="D623" s="2" t="s">
        <v>16</v>
      </c>
      <c r="E623" s="2" t="s">
        <v>84</v>
      </c>
      <c r="F623" s="6">
        <v>310000.0</v>
      </c>
      <c r="G623" s="7">
        <v>0.0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5" t="s">
        <v>7</v>
      </c>
      <c r="B624" s="5" t="s">
        <v>13</v>
      </c>
      <c r="C624" s="2" t="s">
        <v>514</v>
      </c>
      <c r="D624" s="2" t="s">
        <v>19</v>
      </c>
      <c r="E624" s="2" t="s">
        <v>144</v>
      </c>
      <c r="F624" s="6">
        <v>200000.0</v>
      </c>
      <c r="G624" s="7">
        <v>0.0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5" t="s">
        <v>12</v>
      </c>
      <c r="B625" s="5" t="s">
        <v>13</v>
      </c>
      <c r="C625" s="2" t="s">
        <v>514</v>
      </c>
      <c r="D625" s="2" t="s">
        <v>19</v>
      </c>
      <c r="E625" s="2" t="s">
        <v>17</v>
      </c>
      <c r="F625" s="6">
        <v>500000.0</v>
      </c>
      <c r="G625" s="7">
        <v>1.0272E7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5" t="s">
        <v>7</v>
      </c>
      <c r="B626" s="5" t="s">
        <v>13</v>
      </c>
      <c r="C626" s="2" t="s">
        <v>515</v>
      </c>
      <c r="D626" s="2" t="s">
        <v>26</v>
      </c>
      <c r="E626" s="2" t="s">
        <v>14</v>
      </c>
      <c r="F626" s="6">
        <v>0.0</v>
      </c>
      <c r="G626" s="7">
        <v>0.0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5" t="s">
        <v>12</v>
      </c>
      <c r="B627" s="5" t="s">
        <v>13</v>
      </c>
      <c r="C627" s="2" t="s">
        <v>515</v>
      </c>
      <c r="D627" s="2" t="s">
        <v>26</v>
      </c>
      <c r="E627" s="2" t="s">
        <v>17</v>
      </c>
      <c r="F627" s="6">
        <v>0.0</v>
      </c>
      <c r="G627" s="7">
        <v>0.0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5" t="s">
        <v>12</v>
      </c>
      <c r="B628" s="5" t="s">
        <v>8</v>
      </c>
      <c r="C628" s="2" t="s">
        <v>516</v>
      </c>
      <c r="D628" s="2" t="s">
        <v>16</v>
      </c>
      <c r="E628" s="2" t="s">
        <v>14</v>
      </c>
      <c r="F628" s="6">
        <v>0.0</v>
      </c>
      <c r="G628" s="7">
        <v>0.0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5" t="s">
        <v>12</v>
      </c>
      <c r="B629" s="5" t="s">
        <v>13</v>
      </c>
      <c r="C629" s="2" t="s">
        <v>517</v>
      </c>
      <c r="D629" s="2" t="s">
        <v>16</v>
      </c>
      <c r="E629" s="2" t="s">
        <v>14</v>
      </c>
      <c r="F629" s="6">
        <v>0.0</v>
      </c>
      <c r="G629" s="7">
        <v>0.0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5" t="s">
        <v>7</v>
      </c>
      <c r="B630" s="5" t="s">
        <v>13</v>
      </c>
      <c r="C630" s="2" t="s">
        <v>518</v>
      </c>
      <c r="D630" s="2" t="s">
        <v>83</v>
      </c>
      <c r="E630" s="2" t="s">
        <v>23</v>
      </c>
      <c r="F630" s="6">
        <v>4100000.0</v>
      </c>
      <c r="G630" s="7">
        <v>0.0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5" t="s">
        <v>12</v>
      </c>
      <c r="B631" s="5" t="s">
        <v>13</v>
      </c>
      <c r="C631" s="2" t="s">
        <v>518</v>
      </c>
      <c r="D631" s="2" t="s">
        <v>83</v>
      </c>
      <c r="E631" s="2" t="s">
        <v>17</v>
      </c>
      <c r="F631" s="6">
        <v>5062000.0</v>
      </c>
      <c r="G631" s="7">
        <v>3525492.0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5" t="s">
        <v>12</v>
      </c>
      <c r="B632" s="5" t="s">
        <v>13</v>
      </c>
      <c r="C632" s="2" t="s">
        <v>519</v>
      </c>
      <c r="D632" s="2" t="s">
        <v>83</v>
      </c>
      <c r="E632" s="2" t="s">
        <v>14</v>
      </c>
      <c r="F632" s="6">
        <v>0.0</v>
      </c>
      <c r="G632" s="7">
        <v>4399000.0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5" t="s">
        <v>7</v>
      </c>
      <c r="B633" s="5" t="s">
        <v>13</v>
      </c>
      <c r="C633" s="2" t="s">
        <v>520</v>
      </c>
      <c r="D633" s="2" t="s">
        <v>16</v>
      </c>
      <c r="E633" s="2" t="s">
        <v>173</v>
      </c>
      <c r="F633" s="6">
        <v>1000000.0</v>
      </c>
      <c r="G633" s="7">
        <v>0.0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5" t="s">
        <v>12</v>
      </c>
      <c r="B634" s="5" t="s">
        <v>13</v>
      </c>
      <c r="C634" s="2" t="s">
        <v>520</v>
      </c>
      <c r="D634" s="2" t="s">
        <v>16</v>
      </c>
      <c r="E634" s="2" t="s">
        <v>11</v>
      </c>
      <c r="F634" s="6">
        <v>1000000.0</v>
      </c>
      <c r="G634" s="7">
        <v>207269.0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5" t="s">
        <v>12</v>
      </c>
      <c r="B635" s="5" t="s">
        <v>13</v>
      </c>
      <c r="C635" s="2" t="s">
        <v>521</v>
      </c>
      <c r="D635" s="2" t="s">
        <v>16</v>
      </c>
      <c r="E635" s="2" t="s">
        <v>14</v>
      </c>
      <c r="F635" s="6">
        <v>0.0</v>
      </c>
      <c r="G635" s="7">
        <v>0.0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5" t="s">
        <v>12</v>
      </c>
      <c r="B636" s="5" t="s">
        <v>13</v>
      </c>
      <c r="C636" s="2" t="s">
        <v>522</v>
      </c>
      <c r="D636" s="2" t="s">
        <v>16</v>
      </c>
      <c r="E636" s="2" t="s">
        <v>14</v>
      </c>
      <c r="F636" s="6">
        <v>0.0</v>
      </c>
      <c r="G636" s="7">
        <v>0.0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5" t="s">
        <v>12</v>
      </c>
      <c r="B637" s="5" t="s">
        <v>13</v>
      </c>
      <c r="C637" s="2" t="s">
        <v>523</v>
      </c>
      <c r="D637" s="2" t="s">
        <v>16</v>
      </c>
      <c r="E637" s="2" t="s">
        <v>187</v>
      </c>
      <c r="F637" s="6">
        <v>2500000.0</v>
      </c>
      <c r="G637" s="7">
        <v>1454356.0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5" t="s">
        <v>12</v>
      </c>
      <c r="B638" s="5" t="s">
        <v>13</v>
      </c>
      <c r="C638" s="2" t="s">
        <v>524</v>
      </c>
      <c r="D638" s="2" t="s">
        <v>16</v>
      </c>
      <c r="E638" s="2" t="s">
        <v>14</v>
      </c>
      <c r="F638" s="6">
        <v>0.0</v>
      </c>
      <c r="G638" s="7">
        <v>700000.0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5" t="s">
        <v>12</v>
      </c>
      <c r="B639" s="5" t="s">
        <v>13</v>
      </c>
      <c r="C639" s="2" t="s">
        <v>525</v>
      </c>
      <c r="D639" s="2" t="s">
        <v>16</v>
      </c>
      <c r="E639" s="2" t="s">
        <v>14</v>
      </c>
      <c r="F639" s="6">
        <v>0.0</v>
      </c>
      <c r="G639" s="7">
        <v>0.0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5" t="s">
        <v>7</v>
      </c>
      <c r="B640" s="5" t="s">
        <v>13</v>
      </c>
      <c r="C640" s="2" t="s">
        <v>526</v>
      </c>
      <c r="D640" s="2" t="s">
        <v>88</v>
      </c>
      <c r="E640" s="2" t="s">
        <v>144</v>
      </c>
      <c r="F640" s="6">
        <v>850000.0</v>
      </c>
      <c r="G640" s="7">
        <v>0.0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5" t="s">
        <v>12</v>
      </c>
      <c r="B641" s="5" t="s">
        <v>13</v>
      </c>
      <c r="C641" s="2" t="s">
        <v>526</v>
      </c>
      <c r="D641" s="2" t="s">
        <v>88</v>
      </c>
      <c r="E641" s="2" t="s">
        <v>49</v>
      </c>
      <c r="F641" s="6">
        <v>850000.0</v>
      </c>
      <c r="G641" s="7">
        <v>266687.0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5" t="s">
        <v>7</v>
      </c>
      <c r="B642" s="5" t="s">
        <v>13</v>
      </c>
      <c r="C642" s="2" t="s">
        <v>527</v>
      </c>
      <c r="D642" s="2" t="s">
        <v>88</v>
      </c>
      <c r="E642" s="2" t="s">
        <v>223</v>
      </c>
      <c r="F642" s="6">
        <v>1.2025E7</v>
      </c>
      <c r="G642" s="7">
        <v>0.0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5" t="s">
        <v>12</v>
      </c>
      <c r="B643" s="5" t="s">
        <v>13</v>
      </c>
      <c r="C643" s="2" t="s">
        <v>527</v>
      </c>
      <c r="D643" s="2" t="s">
        <v>88</v>
      </c>
      <c r="E643" s="2" t="s">
        <v>96</v>
      </c>
      <c r="F643" s="6">
        <v>1.2025E7</v>
      </c>
      <c r="G643" s="7">
        <v>585691.0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5" t="s">
        <v>12</v>
      </c>
      <c r="B644" s="5" t="s">
        <v>13</v>
      </c>
      <c r="C644" s="2" t="s">
        <v>528</v>
      </c>
      <c r="D644" s="2" t="s">
        <v>16</v>
      </c>
      <c r="E644" s="2" t="s">
        <v>14</v>
      </c>
      <c r="F644" s="6">
        <v>0.0</v>
      </c>
      <c r="G644" s="7">
        <v>708000.0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5" t="s">
        <v>12</v>
      </c>
      <c r="B645" s="5" t="s">
        <v>13</v>
      </c>
      <c r="C645" s="2" t="s">
        <v>529</v>
      </c>
      <c r="D645" s="2" t="s">
        <v>16</v>
      </c>
      <c r="E645" s="2" t="s">
        <v>55</v>
      </c>
      <c r="F645" s="6">
        <v>3450000.0</v>
      </c>
      <c r="G645" s="7">
        <v>1041416.0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5" t="s">
        <v>12</v>
      </c>
      <c r="B646" s="5" t="s">
        <v>8</v>
      </c>
      <c r="C646" s="2" t="s">
        <v>529</v>
      </c>
      <c r="D646" s="2" t="s">
        <v>16</v>
      </c>
      <c r="E646" s="2" t="s">
        <v>55</v>
      </c>
      <c r="F646" s="6">
        <v>3000000.0</v>
      </c>
      <c r="G646" s="7">
        <v>0.0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5" t="s">
        <v>12</v>
      </c>
      <c r="B647" s="5" t="s">
        <v>13</v>
      </c>
      <c r="C647" s="2" t="s">
        <v>530</v>
      </c>
      <c r="D647" s="2" t="s">
        <v>16</v>
      </c>
      <c r="E647" s="2" t="s">
        <v>14</v>
      </c>
      <c r="F647" s="6">
        <v>0.0</v>
      </c>
      <c r="G647" s="7">
        <v>0.0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5" t="s">
        <v>12</v>
      </c>
      <c r="B648" s="5" t="s">
        <v>13</v>
      </c>
      <c r="C648" s="2" t="s">
        <v>531</v>
      </c>
      <c r="D648" s="2" t="s">
        <v>16</v>
      </c>
      <c r="E648" s="2" t="s">
        <v>14</v>
      </c>
      <c r="F648" s="6">
        <v>82000.0</v>
      </c>
      <c r="G648" s="7">
        <v>0.0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5" t="s">
        <v>12</v>
      </c>
      <c r="B649" s="5" t="s">
        <v>13</v>
      </c>
      <c r="C649" s="2" t="s">
        <v>532</v>
      </c>
      <c r="D649" s="2" t="s">
        <v>16</v>
      </c>
      <c r="E649" s="2" t="s">
        <v>14</v>
      </c>
      <c r="F649" s="6">
        <v>0.0</v>
      </c>
      <c r="G649" s="7">
        <v>0.0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5" t="s">
        <v>7</v>
      </c>
      <c r="B650" s="5" t="s">
        <v>8</v>
      </c>
      <c r="C650" s="2" t="s">
        <v>533</v>
      </c>
      <c r="D650" s="2" t="s">
        <v>48</v>
      </c>
      <c r="E650" s="2" t="s">
        <v>17</v>
      </c>
      <c r="F650" s="6">
        <v>1285000.0</v>
      </c>
      <c r="G650" s="7">
        <v>0.0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5" t="s">
        <v>12</v>
      </c>
      <c r="B651" s="5" t="s">
        <v>8</v>
      </c>
      <c r="C651" s="2" t="s">
        <v>533</v>
      </c>
      <c r="D651" s="2" t="s">
        <v>48</v>
      </c>
      <c r="E651" s="2" t="s">
        <v>11</v>
      </c>
      <c r="F651" s="6">
        <v>1516000.0</v>
      </c>
      <c r="G651" s="7">
        <v>634132.0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5" t="s">
        <v>12</v>
      </c>
      <c r="B652" s="5" t="s">
        <v>13</v>
      </c>
      <c r="C652" s="2" t="s">
        <v>533</v>
      </c>
      <c r="D652" s="2" t="s">
        <v>48</v>
      </c>
      <c r="E652" s="2" t="s">
        <v>14</v>
      </c>
      <c r="F652" s="6">
        <v>781000.0</v>
      </c>
      <c r="G652" s="7">
        <v>0.0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5" t="s">
        <v>12</v>
      </c>
      <c r="B653" s="5" t="s">
        <v>13</v>
      </c>
      <c r="C653" s="2" t="s">
        <v>534</v>
      </c>
      <c r="D653" s="2" t="s">
        <v>16</v>
      </c>
      <c r="E653" s="2" t="s">
        <v>14</v>
      </c>
      <c r="F653" s="6">
        <v>0.0</v>
      </c>
      <c r="G653" s="7">
        <v>0.0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5" t="s">
        <v>12</v>
      </c>
      <c r="B654" s="5" t="s">
        <v>13</v>
      </c>
      <c r="C654" s="2" t="s">
        <v>535</v>
      </c>
      <c r="D654" s="2" t="s">
        <v>16</v>
      </c>
      <c r="E654" s="2" t="s">
        <v>49</v>
      </c>
      <c r="F654" s="6">
        <v>2000000.0</v>
      </c>
      <c r="G654" s="7">
        <v>530889.57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5" t="s">
        <v>12</v>
      </c>
      <c r="B655" s="5" t="s">
        <v>13</v>
      </c>
      <c r="C655" s="2" t="s">
        <v>536</v>
      </c>
      <c r="D655" s="2" t="s">
        <v>16</v>
      </c>
      <c r="E655" s="2" t="s">
        <v>14</v>
      </c>
      <c r="F655" s="6">
        <v>264000.0</v>
      </c>
      <c r="G655" s="7">
        <v>615587.0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5" t="s">
        <v>12</v>
      </c>
      <c r="B656" s="5" t="s">
        <v>13</v>
      </c>
      <c r="C656" s="2" t="s">
        <v>537</v>
      </c>
      <c r="D656" s="2" t="s">
        <v>16</v>
      </c>
      <c r="E656" s="2" t="s">
        <v>14</v>
      </c>
      <c r="F656" s="6">
        <v>0.0</v>
      </c>
      <c r="G656" s="7">
        <v>0.0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5" t="s">
        <v>12</v>
      </c>
      <c r="B657" s="5" t="s">
        <v>13</v>
      </c>
      <c r="C657" s="2" t="s">
        <v>538</v>
      </c>
      <c r="D657" s="2" t="s">
        <v>16</v>
      </c>
      <c r="E657" s="2" t="s">
        <v>14</v>
      </c>
      <c r="F657" s="6">
        <v>0.0</v>
      </c>
      <c r="G657" s="7">
        <v>0.0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5" t="s">
        <v>12</v>
      </c>
      <c r="B658" s="5" t="s">
        <v>13</v>
      </c>
      <c r="C658" s="2" t="s">
        <v>539</v>
      </c>
      <c r="D658" s="2" t="s">
        <v>10</v>
      </c>
      <c r="E658" s="2" t="s">
        <v>14</v>
      </c>
      <c r="F658" s="6">
        <v>0.0</v>
      </c>
      <c r="G658" s="7">
        <v>0.0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5" t="s">
        <v>12</v>
      </c>
      <c r="B659" s="5" t="s">
        <v>8</v>
      </c>
      <c r="C659" s="2" t="s">
        <v>539</v>
      </c>
      <c r="D659" s="2" t="s">
        <v>10</v>
      </c>
      <c r="E659" s="2" t="s">
        <v>14</v>
      </c>
      <c r="F659" s="6">
        <v>0.0</v>
      </c>
      <c r="G659" s="7">
        <v>0.0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5" t="s">
        <v>12</v>
      </c>
      <c r="B660" s="5" t="s">
        <v>13</v>
      </c>
      <c r="C660" s="2" t="s">
        <v>540</v>
      </c>
      <c r="D660" s="2" t="s">
        <v>10</v>
      </c>
      <c r="E660" s="2" t="s">
        <v>14</v>
      </c>
      <c r="F660" s="6">
        <v>0.0</v>
      </c>
      <c r="G660" s="7">
        <v>0.0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5" t="s">
        <v>12</v>
      </c>
      <c r="B661" s="5" t="s">
        <v>13</v>
      </c>
      <c r="C661" s="2" t="s">
        <v>541</v>
      </c>
      <c r="D661" s="2" t="s">
        <v>32</v>
      </c>
      <c r="E661" s="2" t="s">
        <v>49</v>
      </c>
      <c r="F661" s="6">
        <v>450000.0</v>
      </c>
      <c r="G661" s="7">
        <v>0.0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5" t="s">
        <v>12</v>
      </c>
      <c r="B662" s="5" t="s">
        <v>13</v>
      </c>
      <c r="C662" s="2" t="s">
        <v>542</v>
      </c>
      <c r="D662" s="2" t="s">
        <v>16</v>
      </c>
      <c r="E662" s="2" t="s">
        <v>14</v>
      </c>
      <c r="F662" s="6">
        <v>0.0</v>
      </c>
      <c r="G662" s="7">
        <v>0.0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5" t="s">
        <v>12</v>
      </c>
      <c r="B663" s="5" t="s">
        <v>8</v>
      </c>
      <c r="C663" s="2" t="s">
        <v>543</v>
      </c>
      <c r="D663" s="2" t="s">
        <v>16</v>
      </c>
      <c r="E663" s="2" t="s">
        <v>49</v>
      </c>
      <c r="F663" s="6">
        <v>15000.0</v>
      </c>
      <c r="G663" s="7">
        <v>4661.0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5" t="s">
        <v>12</v>
      </c>
      <c r="B664" s="5" t="s">
        <v>13</v>
      </c>
      <c r="C664" s="2" t="s">
        <v>543</v>
      </c>
      <c r="D664" s="2" t="s">
        <v>16</v>
      </c>
      <c r="E664" s="2" t="s">
        <v>14</v>
      </c>
      <c r="F664" s="6">
        <v>8000.0</v>
      </c>
      <c r="G664" s="7">
        <v>0.0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5" t="s">
        <v>12</v>
      </c>
      <c r="B665" s="5" t="s">
        <v>13</v>
      </c>
      <c r="C665" s="2" t="s">
        <v>544</v>
      </c>
      <c r="D665" s="2" t="s">
        <v>16</v>
      </c>
      <c r="E665" s="2" t="s">
        <v>14</v>
      </c>
      <c r="F665" s="6">
        <v>0.0</v>
      </c>
      <c r="G665" s="7">
        <v>0.0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5" t="s">
        <v>7</v>
      </c>
      <c r="B666" s="5" t="s">
        <v>13</v>
      </c>
      <c r="C666" s="2" t="s">
        <v>545</v>
      </c>
      <c r="D666" s="2" t="s">
        <v>88</v>
      </c>
      <c r="E666" s="2" t="s">
        <v>14</v>
      </c>
      <c r="F666" s="6">
        <v>0.0</v>
      </c>
      <c r="G666" s="7">
        <v>0.0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5" t="s">
        <v>12</v>
      </c>
      <c r="B667" s="5" t="s">
        <v>13</v>
      </c>
      <c r="C667" s="2" t="s">
        <v>545</v>
      </c>
      <c r="D667" s="2" t="s">
        <v>88</v>
      </c>
      <c r="E667" s="2" t="s">
        <v>14</v>
      </c>
      <c r="F667" s="6">
        <v>0.0</v>
      </c>
      <c r="G667" s="7">
        <v>0.0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5" t="s">
        <v>12</v>
      </c>
      <c r="B668" s="5" t="s">
        <v>13</v>
      </c>
      <c r="C668" s="2" t="s">
        <v>546</v>
      </c>
      <c r="D668" s="2" t="s">
        <v>16</v>
      </c>
      <c r="E668" s="2" t="s">
        <v>14</v>
      </c>
      <c r="F668" s="6">
        <v>0.0</v>
      </c>
      <c r="G668" s="7">
        <v>0.0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5" t="s">
        <v>12</v>
      </c>
      <c r="B669" s="5" t="s">
        <v>13</v>
      </c>
      <c r="C669" s="2" t="s">
        <v>547</v>
      </c>
      <c r="D669" s="2" t="s">
        <v>48</v>
      </c>
      <c r="E669" s="2" t="s">
        <v>14</v>
      </c>
      <c r="F669" s="6">
        <v>0.0</v>
      </c>
      <c r="G669" s="7">
        <v>6703469.0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5" t="s">
        <v>12</v>
      </c>
      <c r="B670" s="5" t="s">
        <v>8</v>
      </c>
      <c r="C670" s="2" t="s">
        <v>547</v>
      </c>
      <c r="D670" s="2" t="s">
        <v>48</v>
      </c>
      <c r="E670" s="2" t="s">
        <v>17</v>
      </c>
      <c r="F670" s="6">
        <v>2000000.0</v>
      </c>
      <c r="G670" s="7">
        <v>0.0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5" t="s">
        <v>12</v>
      </c>
      <c r="B671" s="5" t="s">
        <v>13</v>
      </c>
      <c r="C671" s="2" t="s">
        <v>548</v>
      </c>
      <c r="D671" s="2" t="s">
        <v>16</v>
      </c>
      <c r="E671" s="2" t="s">
        <v>14</v>
      </c>
      <c r="F671" s="6">
        <v>0.0</v>
      </c>
      <c r="G671" s="7">
        <v>2417.0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5" t="s">
        <v>12</v>
      </c>
      <c r="B672" s="5" t="s">
        <v>8</v>
      </c>
      <c r="C672" s="2" t="s">
        <v>549</v>
      </c>
      <c r="D672" s="2" t="s">
        <v>48</v>
      </c>
      <c r="E672" s="2" t="s">
        <v>11</v>
      </c>
      <c r="F672" s="6">
        <v>1068000.0</v>
      </c>
      <c r="G672" s="7">
        <v>696886.0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5" t="s">
        <v>12</v>
      </c>
      <c r="B673" s="5" t="s">
        <v>13</v>
      </c>
      <c r="C673" s="2" t="s">
        <v>550</v>
      </c>
      <c r="D673" s="2" t="s">
        <v>16</v>
      </c>
      <c r="E673" s="2" t="s">
        <v>49</v>
      </c>
      <c r="F673" s="6">
        <v>200000.0</v>
      </c>
      <c r="G673" s="7">
        <v>0.0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5" t="s">
        <v>12</v>
      </c>
      <c r="B674" s="5" t="s">
        <v>13</v>
      </c>
      <c r="C674" s="2" t="s">
        <v>551</v>
      </c>
      <c r="D674" s="2" t="s">
        <v>16</v>
      </c>
      <c r="E674" s="2" t="s">
        <v>14</v>
      </c>
      <c r="F674" s="6">
        <v>0.0</v>
      </c>
      <c r="G674" s="7">
        <v>0.0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5" t="s">
        <v>12</v>
      </c>
      <c r="B675" s="5" t="s">
        <v>13</v>
      </c>
      <c r="C675" s="2" t="s">
        <v>552</v>
      </c>
      <c r="D675" s="2" t="s">
        <v>16</v>
      </c>
      <c r="E675" s="2" t="s">
        <v>14</v>
      </c>
      <c r="F675" s="6">
        <v>0.0</v>
      </c>
      <c r="G675" s="7">
        <v>0.0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5" t="s">
        <v>12</v>
      </c>
      <c r="B676" s="5" t="s">
        <v>13</v>
      </c>
      <c r="C676" s="2" t="s">
        <v>553</v>
      </c>
      <c r="D676" s="2" t="s">
        <v>16</v>
      </c>
      <c r="E676" s="2" t="s">
        <v>14</v>
      </c>
      <c r="F676" s="6">
        <v>0.0</v>
      </c>
      <c r="G676" s="7">
        <v>0.0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5" t="s">
        <v>7</v>
      </c>
      <c r="B677" s="5" t="s">
        <v>13</v>
      </c>
      <c r="C677" s="2" t="s">
        <v>554</v>
      </c>
      <c r="D677" s="2" t="s">
        <v>48</v>
      </c>
      <c r="E677" s="2" t="s">
        <v>11</v>
      </c>
      <c r="F677" s="6">
        <v>5000000.0</v>
      </c>
      <c r="G677" s="7">
        <v>0.0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5" t="s">
        <v>12</v>
      </c>
      <c r="B678" s="5" t="s">
        <v>13</v>
      </c>
      <c r="C678" s="2" t="s">
        <v>554</v>
      </c>
      <c r="D678" s="2" t="s">
        <v>48</v>
      </c>
      <c r="E678" s="2" t="s">
        <v>11</v>
      </c>
      <c r="F678" s="6">
        <v>1.2554E7</v>
      </c>
      <c r="G678" s="7">
        <v>0.0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5" t="s">
        <v>12</v>
      </c>
      <c r="B679" s="5" t="s">
        <v>13</v>
      </c>
      <c r="C679" s="2" t="s">
        <v>555</v>
      </c>
      <c r="D679" s="2" t="s">
        <v>48</v>
      </c>
      <c r="E679" s="2" t="s">
        <v>14</v>
      </c>
      <c r="F679" s="6">
        <v>0.0</v>
      </c>
      <c r="G679" s="7">
        <v>1797534.0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5" t="s">
        <v>12</v>
      </c>
      <c r="B680" s="5" t="s">
        <v>13</v>
      </c>
      <c r="C680" s="2" t="s">
        <v>556</v>
      </c>
      <c r="D680" s="2" t="s">
        <v>16</v>
      </c>
      <c r="E680" s="2" t="s">
        <v>74</v>
      </c>
      <c r="F680" s="6">
        <v>500000.0</v>
      </c>
      <c r="G680" s="7">
        <v>-54428.0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5" t="s">
        <v>12</v>
      </c>
      <c r="B681" s="5" t="s">
        <v>8</v>
      </c>
      <c r="C681" s="2" t="s">
        <v>557</v>
      </c>
      <c r="D681" s="2" t="s">
        <v>16</v>
      </c>
      <c r="E681" s="2" t="s">
        <v>14</v>
      </c>
      <c r="F681" s="6">
        <v>0.0</v>
      </c>
      <c r="G681" s="7">
        <v>0.0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5" t="s">
        <v>12</v>
      </c>
      <c r="B682" s="5" t="s">
        <v>13</v>
      </c>
      <c r="C682" s="2" t="s">
        <v>558</v>
      </c>
      <c r="D682" s="2" t="s">
        <v>16</v>
      </c>
      <c r="E682" s="2" t="s">
        <v>11</v>
      </c>
      <c r="F682" s="6">
        <v>333000.0</v>
      </c>
      <c r="G682" s="7">
        <v>0.0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5" t="s">
        <v>12</v>
      </c>
      <c r="B683" s="5" t="s">
        <v>8</v>
      </c>
      <c r="C683" s="2" t="s">
        <v>559</v>
      </c>
      <c r="D683" s="2" t="s">
        <v>16</v>
      </c>
      <c r="E683" s="2" t="s">
        <v>14</v>
      </c>
      <c r="F683" s="6">
        <v>0.0</v>
      </c>
      <c r="G683" s="7">
        <v>0.0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5" t="s">
        <v>12</v>
      </c>
      <c r="B684" s="5" t="s">
        <v>13</v>
      </c>
      <c r="C684" s="2" t="s">
        <v>560</v>
      </c>
      <c r="D684" s="2" t="s">
        <v>16</v>
      </c>
      <c r="E684" s="2" t="s">
        <v>14</v>
      </c>
      <c r="F684" s="6">
        <v>0.0</v>
      </c>
      <c r="G684" s="7">
        <v>0.0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5" t="s">
        <v>12</v>
      </c>
      <c r="B685" s="5" t="s">
        <v>13</v>
      </c>
      <c r="C685" s="2" t="s">
        <v>561</v>
      </c>
      <c r="D685" s="2" t="s">
        <v>16</v>
      </c>
      <c r="E685" s="2" t="s">
        <v>14</v>
      </c>
      <c r="F685" s="6">
        <v>0.0</v>
      </c>
      <c r="G685" s="7">
        <v>0.0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5" t="s">
        <v>12</v>
      </c>
      <c r="B686" s="5" t="s">
        <v>13</v>
      </c>
      <c r="C686" s="2" t="s">
        <v>562</v>
      </c>
      <c r="D686" s="2" t="s">
        <v>16</v>
      </c>
      <c r="E686" s="2" t="s">
        <v>14</v>
      </c>
      <c r="F686" s="6">
        <v>100000.0</v>
      </c>
      <c r="G686" s="7">
        <v>0.0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5" t="s">
        <v>12</v>
      </c>
      <c r="B687" s="5" t="s">
        <v>8</v>
      </c>
      <c r="C687" s="2" t="s">
        <v>562</v>
      </c>
      <c r="D687" s="2" t="s">
        <v>16</v>
      </c>
      <c r="E687" s="2" t="s">
        <v>11</v>
      </c>
      <c r="F687" s="6">
        <v>25000.0</v>
      </c>
      <c r="G687" s="7">
        <v>0.0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5" t="s">
        <v>12</v>
      </c>
      <c r="B688" s="5" t="s">
        <v>13</v>
      </c>
      <c r="C688" s="2" t="s">
        <v>563</v>
      </c>
      <c r="D688" s="2" t="s">
        <v>10</v>
      </c>
      <c r="E688" s="2" t="s">
        <v>14</v>
      </c>
      <c r="F688" s="6">
        <v>0.0</v>
      </c>
      <c r="G688" s="7">
        <v>0.0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5" t="s">
        <v>7</v>
      </c>
      <c r="B689" s="5" t="s">
        <v>8</v>
      </c>
      <c r="C689" s="2" t="s">
        <v>564</v>
      </c>
      <c r="D689" s="2" t="s">
        <v>48</v>
      </c>
      <c r="E689" s="2" t="s">
        <v>49</v>
      </c>
      <c r="F689" s="6">
        <v>100000.0</v>
      </c>
      <c r="G689" s="7">
        <v>0.0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5" t="s">
        <v>12</v>
      </c>
      <c r="B690" s="5" t="s">
        <v>8</v>
      </c>
      <c r="C690" s="2" t="s">
        <v>564</v>
      </c>
      <c r="D690" s="2" t="s">
        <v>48</v>
      </c>
      <c r="E690" s="2" t="s">
        <v>49</v>
      </c>
      <c r="F690" s="6">
        <v>675707.0</v>
      </c>
      <c r="G690" s="7">
        <v>14750.0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5" t="s">
        <v>12</v>
      </c>
      <c r="B691" s="5" t="s">
        <v>13</v>
      </c>
      <c r="C691" s="2" t="s">
        <v>565</v>
      </c>
      <c r="D691" s="2" t="s">
        <v>16</v>
      </c>
      <c r="E691" s="2" t="s">
        <v>49</v>
      </c>
      <c r="F691" s="6">
        <v>1066000.0</v>
      </c>
      <c r="G691" s="7">
        <v>0.0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5" t="s">
        <v>7</v>
      </c>
      <c r="B692" s="5" t="s">
        <v>13</v>
      </c>
      <c r="C692" s="2" t="s">
        <v>566</v>
      </c>
      <c r="D692" s="2" t="s">
        <v>32</v>
      </c>
      <c r="E692" s="2" t="s">
        <v>104</v>
      </c>
      <c r="F692" s="6">
        <v>3500000.0</v>
      </c>
      <c r="G692" s="7">
        <v>0.0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5" t="s">
        <v>12</v>
      </c>
      <c r="B693" s="5" t="s">
        <v>13</v>
      </c>
      <c r="C693" s="2" t="s">
        <v>566</v>
      </c>
      <c r="D693" s="2" t="s">
        <v>32</v>
      </c>
      <c r="E693" s="2" t="s">
        <v>84</v>
      </c>
      <c r="F693" s="6">
        <v>3500000.0</v>
      </c>
      <c r="G693" s="7">
        <v>665920.0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5" t="s">
        <v>12</v>
      </c>
      <c r="B694" s="5" t="s">
        <v>13</v>
      </c>
      <c r="C694" s="2" t="s">
        <v>567</v>
      </c>
      <c r="D694" s="2" t="s">
        <v>16</v>
      </c>
      <c r="E694" s="2" t="s">
        <v>14</v>
      </c>
      <c r="F694" s="6">
        <v>0.0</v>
      </c>
      <c r="G694" s="7">
        <v>0.0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5" t="s">
        <v>12</v>
      </c>
      <c r="B695" s="5" t="s">
        <v>13</v>
      </c>
      <c r="C695" s="2" t="s">
        <v>568</v>
      </c>
      <c r="D695" s="2" t="s">
        <v>48</v>
      </c>
      <c r="E695" s="2" t="s">
        <v>14</v>
      </c>
      <c r="F695" s="6">
        <v>3066000.0</v>
      </c>
      <c r="G695" s="7">
        <v>2.2992617E7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5" t="s">
        <v>12</v>
      </c>
      <c r="B696" s="5" t="s">
        <v>13</v>
      </c>
      <c r="C696" s="2" t="s">
        <v>569</v>
      </c>
      <c r="D696" s="2" t="s">
        <v>48</v>
      </c>
      <c r="E696" s="2" t="s">
        <v>14</v>
      </c>
      <c r="F696" s="6">
        <v>0.0</v>
      </c>
      <c r="G696" s="7">
        <v>-3475500.0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5" t="s">
        <v>12</v>
      </c>
      <c r="B697" s="5" t="s">
        <v>8</v>
      </c>
      <c r="C697" s="2" t="s">
        <v>570</v>
      </c>
      <c r="D697" s="2" t="s">
        <v>48</v>
      </c>
      <c r="E697" s="2" t="s">
        <v>14</v>
      </c>
      <c r="F697" s="6">
        <v>0.0</v>
      </c>
      <c r="G697" s="7">
        <v>0.0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5" t="s">
        <v>12</v>
      </c>
      <c r="B698" s="5" t="s">
        <v>13</v>
      </c>
      <c r="C698" s="2" t="s">
        <v>571</v>
      </c>
      <c r="D698" s="2" t="s">
        <v>16</v>
      </c>
      <c r="E698" s="2" t="s">
        <v>14</v>
      </c>
      <c r="F698" s="6">
        <v>69000.0</v>
      </c>
      <c r="G698" s="7">
        <v>0.0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5" t="s">
        <v>12</v>
      </c>
      <c r="B699" s="5" t="s">
        <v>8</v>
      </c>
      <c r="C699" s="2" t="s">
        <v>571</v>
      </c>
      <c r="D699" s="2" t="s">
        <v>16</v>
      </c>
      <c r="E699" s="2" t="s">
        <v>11</v>
      </c>
      <c r="F699" s="6">
        <v>1.0</v>
      </c>
      <c r="G699" s="7">
        <v>0.0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5" t="s">
        <v>12</v>
      </c>
      <c r="B700" s="5" t="s">
        <v>13</v>
      </c>
      <c r="C700" s="2" t="s">
        <v>572</v>
      </c>
      <c r="D700" s="2" t="s">
        <v>16</v>
      </c>
      <c r="E700" s="2" t="s">
        <v>14</v>
      </c>
      <c r="F700" s="6">
        <v>0.0</v>
      </c>
      <c r="G700" s="7">
        <v>0.0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5" t="s">
        <v>12</v>
      </c>
      <c r="B701" s="5" t="s">
        <v>13</v>
      </c>
      <c r="C701" s="2" t="s">
        <v>573</v>
      </c>
      <c r="D701" s="2" t="s">
        <v>16</v>
      </c>
      <c r="E701" s="2" t="s">
        <v>14</v>
      </c>
      <c r="F701" s="6">
        <v>0.0</v>
      </c>
      <c r="G701" s="7">
        <v>0.0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5" t="s">
        <v>12</v>
      </c>
      <c r="B702" s="5" t="s">
        <v>8</v>
      </c>
      <c r="C702" s="2" t="s">
        <v>574</v>
      </c>
      <c r="D702" s="2" t="s">
        <v>48</v>
      </c>
      <c r="E702" s="2" t="s">
        <v>14</v>
      </c>
      <c r="F702" s="6">
        <v>910570.0</v>
      </c>
      <c r="G702" s="7">
        <v>207385.0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5" t="s">
        <v>12</v>
      </c>
      <c r="B703" s="5" t="s">
        <v>13</v>
      </c>
      <c r="C703" s="2" t="s">
        <v>574</v>
      </c>
      <c r="D703" s="2" t="s">
        <v>48</v>
      </c>
      <c r="E703" s="2" t="s">
        <v>14</v>
      </c>
      <c r="F703" s="6">
        <v>911000.0</v>
      </c>
      <c r="G703" s="7">
        <v>0.0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5" t="s">
        <v>12</v>
      </c>
      <c r="B704" s="5" t="s">
        <v>13</v>
      </c>
      <c r="C704" s="2" t="s">
        <v>575</v>
      </c>
      <c r="D704" s="2" t="s">
        <v>16</v>
      </c>
      <c r="E704" s="2" t="s">
        <v>14</v>
      </c>
      <c r="F704" s="6">
        <v>0.0</v>
      </c>
      <c r="G704" s="7">
        <v>0.0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5" t="s">
        <v>7</v>
      </c>
      <c r="B705" s="5" t="s">
        <v>13</v>
      </c>
      <c r="C705" s="2" t="s">
        <v>576</v>
      </c>
      <c r="D705" s="2" t="s">
        <v>16</v>
      </c>
      <c r="E705" s="2" t="s">
        <v>14</v>
      </c>
      <c r="F705" s="6">
        <v>0.0</v>
      </c>
      <c r="G705" s="7">
        <v>0.0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5" t="s">
        <v>12</v>
      </c>
      <c r="B706" s="5" t="s">
        <v>13</v>
      </c>
      <c r="C706" s="2" t="s">
        <v>576</v>
      </c>
      <c r="D706" s="2" t="s">
        <v>16</v>
      </c>
      <c r="E706" s="2" t="s">
        <v>14</v>
      </c>
      <c r="F706" s="6">
        <v>0.0</v>
      </c>
      <c r="G706" s="7">
        <v>0.0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5" t="s">
        <v>12</v>
      </c>
      <c r="B707" s="5" t="s">
        <v>13</v>
      </c>
      <c r="C707" s="2" t="s">
        <v>577</v>
      </c>
      <c r="D707" s="2" t="s">
        <v>37</v>
      </c>
      <c r="E707" s="2" t="s">
        <v>14</v>
      </c>
      <c r="F707" s="6">
        <v>0.0</v>
      </c>
      <c r="G707" s="7">
        <v>2.4484386E7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5" t="s">
        <v>7</v>
      </c>
      <c r="B708" s="5" t="s">
        <v>13</v>
      </c>
      <c r="C708" s="2" t="s">
        <v>578</v>
      </c>
      <c r="D708" s="2" t="s">
        <v>83</v>
      </c>
      <c r="E708" s="2" t="s">
        <v>23</v>
      </c>
      <c r="F708" s="6">
        <v>1850000.0</v>
      </c>
      <c r="G708" s="7">
        <v>0.0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5" t="s">
        <v>12</v>
      </c>
      <c r="B709" s="5" t="s">
        <v>13</v>
      </c>
      <c r="C709" s="2" t="s">
        <v>578</v>
      </c>
      <c r="D709" s="2" t="s">
        <v>83</v>
      </c>
      <c r="E709" s="2" t="s">
        <v>17</v>
      </c>
      <c r="F709" s="6">
        <v>1800000.0</v>
      </c>
      <c r="G709" s="7">
        <v>1301665.0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5" t="s">
        <v>7</v>
      </c>
      <c r="B710" s="5" t="s">
        <v>13</v>
      </c>
      <c r="C710" s="2" t="s">
        <v>579</v>
      </c>
      <c r="D710" s="2" t="s">
        <v>37</v>
      </c>
      <c r="E710" s="2" t="s">
        <v>96</v>
      </c>
      <c r="F710" s="6">
        <v>0.0</v>
      </c>
      <c r="G710" s="7">
        <v>0.0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5" t="s">
        <v>12</v>
      </c>
      <c r="B711" s="5" t="s">
        <v>13</v>
      </c>
      <c r="C711" s="2" t="s">
        <v>579</v>
      </c>
      <c r="D711" s="2" t="s">
        <v>37</v>
      </c>
      <c r="E711" s="2" t="s">
        <v>96</v>
      </c>
      <c r="F711" s="6">
        <v>1000000.0</v>
      </c>
      <c r="G711" s="7">
        <v>0.0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5" t="s">
        <v>12</v>
      </c>
      <c r="B712" s="5" t="s">
        <v>13</v>
      </c>
      <c r="C712" s="2" t="s">
        <v>580</v>
      </c>
      <c r="D712" s="2" t="s">
        <v>37</v>
      </c>
      <c r="E712" s="2" t="s">
        <v>14</v>
      </c>
      <c r="F712" s="6">
        <v>0.0</v>
      </c>
      <c r="G712" s="7">
        <v>0.0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5" t="s">
        <v>12</v>
      </c>
      <c r="B713" s="5" t="s">
        <v>13</v>
      </c>
      <c r="C713" s="2" t="s">
        <v>581</v>
      </c>
      <c r="D713" s="2" t="s">
        <v>16</v>
      </c>
      <c r="E713" s="2" t="s">
        <v>14</v>
      </c>
      <c r="F713" s="6">
        <v>297000.0</v>
      </c>
      <c r="G713" s="7">
        <v>0.0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5" t="s">
        <v>7</v>
      </c>
      <c r="B714" s="5" t="s">
        <v>13</v>
      </c>
      <c r="C714" s="2" t="s">
        <v>582</v>
      </c>
      <c r="D714" s="2" t="s">
        <v>16</v>
      </c>
      <c r="E714" s="2" t="s">
        <v>14</v>
      </c>
      <c r="F714" s="6">
        <v>0.0</v>
      </c>
      <c r="G714" s="7">
        <v>0.0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5" t="s">
        <v>12</v>
      </c>
      <c r="B715" s="5" t="s">
        <v>13</v>
      </c>
      <c r="C715" s="2" t="s">
        <v>582</v>
      </c>
      <c r="D715" s="2" t="s">
        <v>16</v>
      </c>
      <c r="E715" s="2" t="s">
        <v>14</v>
      </c>
      <c r="F715" s="6">
        <v>52000.0</v>
      </c>
      <c r="G715" s="7">
        <v>0.0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5" t="s">
        <v>12</v>
      </c>
      <c r="B716" s="5" t="s">
        <v>13</v>
      </c>
      <c r="C716" s="2" t="s">
        <v>583</v>
      </c>
      <c r="D716" s="2" t="s">
        <v>32</v>
      </c>
      <c r="E716" s="2" t="s">
        <v>14</v>
      </c>
      <c r="F716" s="6">
        <v>0.0</v>
      </c>
      <c r="G716" s="7">
        <v>1.79183955E7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5" t="s">
        <v>12</v>
      </c>
      <c r="B717" s="5" t="s">
        <v>13</v>
      </c>
      <c r="C717" s="2" t="s">
        <v>584</v>
      </c>
      <c r="D717" s="2" t="s">
        <v>16</v>
      </c>
      <c r="E717" s="2" t="s">
        <v>14</v>
      </c>
      <c r="F717" s="6">
        <v>0.0</v>
      </c>
      <c r="G717" s="7">
        <v>0.0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5" t="s">
        <v>12</v>
      </c>
      <c r="B718" s="5" t="s">
        <v>8</v>
      </c>
      <c r="C718" s="2" t="s">
        <v>585</v>
      </c>
      <c r="D718" s="2" t="s">
        <v>10</v>
      </c>
      <c r="E718" s="2" t="s">
        <v>14</v>
      </c>
      <c r="F718" s="6">
        <v>251931.0</v>
      </c>
      <c r="G718" s="7">
        <v>57525.0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5" t="s">
        <v>12</v>
      </c>
      <c r="B719" s="5" t="s">
        <v>13</v>
      </c>
      <c r="C719" s="2" t="s">
        <v>585</v>
      </c>
      <c r="D719" s="2" t="s">
        <v>10</v>
      </c>
      <c r="E719" s="2" t="s">
        <v>49</v>
      </c>
      <c r="F719" s="6">
        <v>500000.0</v>
      </c>
      <c r="G719" s="7">
        <v>0.0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5" t="s">
        <v>12</v>
      </c>
      <c r="B720" s="5" t="s">
        <v>13</v>
      </c>
      <c r="C720" s="2" t="s">
        <v>586</v>
      </c>
      <c r="D720" s="2" t="s">
        <v>16</v>
      </c>
      <c r="E720" s="2" t="s">
        <v>14</v>
      </c>
      <c r="F720" s="6">
        <v>0.0</v>
      </c>
      <c r="G720" s="7">
        <v>434000.0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5" t="s">
        <v>12</v>
      </c>
      <c r="B721" s="5" t="s">
        <v>13</v>
      </c>
      <c r="C721" s="2" t="s">
        <v>587</v>
      </c>
      <c r="D721" s="2" t="s">
        <v>16</v>
      </c>
      <c r="E721" s="2" t="s">
        <v>49</v>
      </c>
      <c r="F721" s="6">
        <v>3400000.0</v>
      </c>
      <c r="G721" s="7">
        <v>7153250.0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5" t="s">
        <v>7</v>
      </c>
      <c r="B722" s="5" t="s">
        <v>13</v>
      </c>
      <c r="C722" s="2" t="s">
        <v>588</v>
      </c>
      <c r="D722" s="2" t="s">
        <v>32</v>
      </c>
      <c r="E722" s="2" t="s">
        <v>173</v>
      </c>
      <c r="F722" s="6">
        <v>2100000.0</v>
      </c>
      <c r="G722" s="7">
        <v>0.0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5" t="s">
        <v>12</v>
      </c>
      <c r="B723" s="5" t="s">
        <v>13</v>
      </c>
      <c r="C723" s="2" t="s">
        <v>588</v>
      </c>
      <c r="D723" s="2" t="s">
        <v>32</v>
      </c>
      <c r="E723" s="2" t="s">
        <v>11</v>
      </c>
      <c r="F723" s="6">
        <v>2100000.0</v>
      </c>
      <c r="G723" s="7">
        <v>1345650.0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5" t="s">
        <v>12</v>
      </c>
      <c r="B724" s="5" t="s">
        <v>13</v>
      </c>
      <c r="C724" s="2" t="s">
        <v>589</v>
      </c>
      <c r="D724" s="2" t="s">
        <v>16</v>
      </c>
      <c r="E724" s="2" t="s">
        <v>11</v>
      </c>
      <c r="F724" s="6">
        <v>0.0</v>
      </c>
      <c r="G724" s="7">
        <v>0.0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5" t="s">
        <v>12</v>
      </c>
      <c r="B725" s="5" t="s">
        <v>13</v>
      </c>
      <c r="C725" s="2" t="s">
        <v>590</v>
      </c>
      <c r="D725" s="2" t="s">
        <v>16</v>
      </c>
      <c r="E725" s="2" t="s">
        <v>14</v>
      </c>
      <c r="F725" s="6">
        <v>0.0</v>
      </c>
      <c r="G725" s="7">
        <v>0.0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5" t="s">
        <v>12</v>
      </c>
      <c r="B726" s="5" t="s">
        <v>13</v>
      </c>
      <c r="C726" s="2" t="s">
        <v>591</v>
      </c>
      <c r="D726" s="2" t="s">
        <v>16</v>
      </c>
      <c r="E726" s="2" t="s">
        <v>14</v>
      </c>
      <c r="F726" s="6">
        <v>1200000.0</v>
      </c>
      <c r="G726" s="7">
        <v>0.0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5" t="s">
        <v>12</v>
      </c>
      <c r="B727" s="5" t="s">
        <v>13</v>
      </c>
      <c r="C727" s="2" t="s">
        <v>592</v>
      </c>
      <c r="D727" s="2" t="s">
        <v>32</v>
      </c>
      <c r="E727" s="2" t="s">
        <v>84</v>
      </c>
      <c r="F727" s="6">
        <v>10000.0</v>
      </c>
      <c r="G727" s="7">
        <v>6691.0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5" t="s">
        <v>12</v>
      </c>
      <c r="B728" s="5" t="s">
        <v>13</v>
      </c>
      <c r="C728" s="2" t="s">
        <v>593</v>
      </c>
      <c r="D728" s="2" t="s">
        <v>16</v>
      </c>
      <c r="E728" s="2" t="s">
        <v>14</v>
      </c>
      <c r="F728" s="6">
        <v>0.0</v>
      </c>
      <c r="G728" s="7">
        <v>0.0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5" t="s">
        <v>12</v>
      </c>
      <c r="B729" s="5" t="s">
        <v>13</v>
      </c>
      <c r="C729" s="2" t="s">
        <v>594</v>
      </c>
      <c r="D729" s="2" t="s">
        <v>16</v>
      </c>
      <c r="E729" s="2" t="s">
        <v>14</v>
      </c>
      <c r="F729" s="6">
        <v>85000.0</v>
      </c>
      <c r="G729" s="7">
        <v>0.0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5" t="s">
        <v>12</v>
      </c>
      <c r="B730" s="5" t="s">
        <v>13</v>
      </c>
      <c r="C730" s="2" t="s">
        <v>595</v>
      </c>
      <c r="D730" s="2" t="s">
        <v>48</v>
      </c>
      <c r="E730" s="2" t="s">
        <v>14</v>
      </c>
      <c r="F730" s="6">
        <v>85000.0</v>
      </c>
      <c r="G730" s="7">
        <v>0.0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5" t="s">
        <v>12</v>
      </c>
      <c r="B731" s="5" t="s">
        <v>8</v>
      </c>
      <c r="C731" s="2" t="s">
        <v>595</v>
      </c>
      <c r="D731" s="2" t="s">
        <v>48</v>
      </c>
      <c r="E731" s="2" t="s">
        <v>49</v>
      </c>
      <c r="F731" s="6">
        <v>236300.0</v>
      </c>
      <c r="G731" s="7">
        <v>0.0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5" t="s">
        <v>7</v>
      </c>
      <c r="B732" s="5" t="s">
        <v>13</v>
      </c>
      <c r="C732" s="2" t="s">
        <v>596</v>
      </c>
      <c r="D732" s="2" t="s">
        <v>88</v>
      </c>
      <c r="E732" s="2" t="s">
        <v>23</v>
      </c>
      <c r="F732" s="6">
        <v>2500000.0</v>
      </c>
      <c r="G732" s="7">
        <v>0.0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5" t="s">
        <v>12</v>
      </c>
      <c r="B733" s="5" t="s">
        <v>13</v>
      </c>
      <c r="C733" s="2" t="s">
        <v>596</v>
      </c>
      <c r="D733" s="2" t="s">
        <v>88</v>
      </c>
      <c r="E733" s="2" t="s">
        <v>17</v>
      </c>
      <c r="F733" s="6">
        <v>2500000.0</v>
      </c>
      <c r="G733" s="7">
        <v>1600184.0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5" t="s">
        <v>12</v>
      </c>
      <c r="B734" s="5" t="s">
        <v>13</v>
      </c>
      <c r="C734" s="2" t="s">
        <v>597</v>
      </c>
      <c r="D734" s="2" t="s">
        <v>16</v>
      </c>
      <c r="E734" s="2" t="s">
        <v>49</v>
      </c>
      <c r="F734" s="6">
        <v>0.0</v>
      </c>
      <c r="G734" s="7">
        <v>0.0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5" t="s">
        <v>7</v>
      </c>
      <c r="B735" s="5" t="s">
        <v>13</v>
      </c>
      <c r="C735" s="2" t="s">
        <v>598</v>
      </c>
      <c r="D735" s="2" t="s">
        <v>88</v>
      </c>
      <c r="E735" s="2" t="s">
        <v>23</v>
      </c>
      <c r="F735" s="6">
        <v>500000.0</v>
      </c>
      <c r="G735" s="7">
        <v>0.0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5" t="s">
        <v>12</v>
      </c>
      <c r="B736" s="5" t="s">
        <v>13</v>
      </c>
      <c r="C736" s="2" t="s">
        <v>598</v>
      </c>
      <c r="D736" s="2" t="s">
        <v>88</v>
      </c>
      <c r="E736" s="2" t="s">
        <v>17</v>
      </c>
      <c r="F736" s="6">
        <v>500000.0</v>
      </c>
      <c r="G736" s="7">
        <v>183195.0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5" t="s">
        <v>12</v>
      </c>
      <c r="B737" s="5" t="s">
        <v>13</v>
      </c>
      <c r="C737" s="2" t="s">
        <v>599</v>
      </c>
      <c r="D737" s="2" t="s">
        <v>16</v>
      </c>
      <c r="E737" s="2" t="s">
        <v>14</v>
      </c>
      <c r="F737" s="6">
        <v>0.0</v>
      </c>
      <c r="G737" s="7">
        <v>0.0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5" t="s">
        <v>7</v>
      </c>
      <c r="B738" s="5" t="s">
        <v>13</v>
      </c>
      <c r="C738" s="2" t="s">
        <v>600</v>
      </c>
      <c r="D738" s="2" t="s">
        <v>88</v>
      </c>
      <c r="E738" s="2" t="s">
        <v>17</v>
      </c>
      <c r="F738" s="6">
        <v>1150000.0</v>
      </c>
      <c r="G738" s="7">
        <v>0.0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5" t="s">
        <v>12</v>
      </c>
      <c r="B739" s="5" t="s">
        <v>13</v>
      </c>
      <c r="C739" s="2" t="s">
        <v>600</v>
      </c>
      <c r="D739" s="2" t="s">
        <v>88</v>
      </c>
      <c r="E739" s="2" t="s">
        <v>17</v>
      </c>
      <c r="F739" s="6">
        <v>2300000.0</v>
      </c>
      <c r="G739" s="7">
        <v>0.0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5" t="s">
        <v>12</v>
      </c>
      <c r="B740" s="5" t="s">
        <v>8</v>
      </c>
      <c r="C740" s="2" t="s">
        <v>601</v>
      </c>
      <c r="D740" s="2" t="s">
        <v>16</v>
      </c>
      <c r="E740" s="2" t="s">
        <v>49</v>
      </c>
      <c r="F740" s="6">
        <v>210794.0</v>
      </c>
      <c r="G740" s="7">
        <v>88500.0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5" t="s">
        <v>12</v>
      </c>
      <c r="B741" s="5" t="s">
        <v>13</v>
      </c>
      <c r="C741" s="2" t="s">
        <v>601</v>
      </c>
      <c r="D741" s="2" t="s">
        <v>16</v>
      </c>
      <c r="E741" s="2" t="s">
        <v>14</v>
      </c>
      <c r="F741" s="6">
        <v>281000.0</v>
      </c>
      <c r="G741" s="7">
        <v>0.0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5" t="s">
        <v>7</v>
      </c>
      <c r="B742" s="5" t="s">
        <v>13</v>
      </c>
      <c r="C742" s="2" t="s">
        <v>602</v>
      </c>
      <c r="D742" s="2" t="s">
        <v>83</v>
      </c>
      <c r="E742" s="2" t="s">
        <v>23</v>
      </c>
      <c r="F742" s="6">
        <v>1200000.0</v>
      </c>
      <c r="G742" s="7">
        <v>0.0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5" t="s">
        <v>12</v>
      </c>
      <c r="B743" s="5" t="s">
        <v>13</v>
      </c>
      <c r="C743" s="2" t="s">
        <v>602</v>
      </c>
      <c r="D743" s="2" t="s">
        <v>83</v>
      </c>
      <c r="E743" s="2" t="s">
        <v>17</v>
      </c>
      <c r="F743" s="6">
        <v>1200000.0</v>
      </c>
      <c r="G743" s="7">
        <v>704798.0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5" t="s">
        <v>12</v>
      </c>
      <c r="B744" s="5" t="s">
        <v>13</v>
      </c>
      <c r="C744" s="2" t="s">
        <v>603</v>
      </c>
      <c r="D744" s="2" t="s">
        <v>16</v>
      </c>
      <c r="E744" s="2" t="s">
        <v>14</v>
      </c>
      <c r="F744" s="6">
        <v>0.0</v>
      </c>
      <c r="G744" s="7">
        <v>0.0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5" t="s">
        <v>7</v>
      </c>
      <c r="B745" s="5" t="s">
        <v>13</v>
      </c>
      <c r="C745" s="2" t="s">
        <v>604</v>
      </c>
      <c r="D745" s="2" t="s">
        <v>16</v>
      </c>
      <c r="E745" s="2" t="s">
        <v>23</v>
      </c>
      <c r="F745" s="6">
        <v>0.0</v>
      </c>
      <c r="G745" s="7">
        <v>0.0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5" t="s">
        <v>7</v>
      </c>
      <c r="B746" s="5" t="s">
        <v>13</v>
      </c>
      <c r="C746" s="2" t="s">
        <v>605</v>
      </c>
      <c r="D746" s="2" t="s">
        <v>88</v>
      </c>
      <c r="E746" s="2" t="s">
        <v>17</v>
      </c>
      <c r="F746" s="6">
        <v>200000.0</v>
      </c>
      <c r="G746" s="7">
        <v>0.0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5" t="s">
        <v>12</v>
      </c>
      <c r="B747" s="5" t="s">
        <v>13</v>
      </c>
      <c r="C747" s="2" t="s">
        <v>605</v>
      </c>
      <c r="D747" s="2" t="s">
        <v>88</v>
      </c>
      <c r="E747" s="2" t="s">
        <v>17</v>
      </c>
      <c r="F747" s="6">
        <v>200000.0</v>
      </c>
      <c r="G747" s="7">
        <v>104312.0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5" t="s">
        <v>7</v>
      </c>
      <c r="B748" s="5" t="s">
        <v>13</v>
      </c>
      <c r="C748" s="2" t="s">
        <v>606</v>
      </c>
      <c r="D748" s="2" t="s">
        <v>419</v>
      </c>
      <c r="E748" s="2" t="s">
        <v>17</v>
      </c>
      <c r="F748" s="6">
        <v>100000.0</v>
      </c>
      <c r="G748" s="7">
        <v>0.0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5" t="s">
        <v>12</v>
      </c>
      <c r="B749" s="5" t="s">
        <v>13</v>
      </c>
      <c r="C749" s="2" t="s">
        <v>606</v>
      </c>
      <c r="D749" s="2" t="s">
        <v>419</v>
      </c>
      <c r="E749" s="2" t="s">
        <v>17</v>
      </c>
      <c r="F749" s="6">
        <v>1000000.0</v>
      </c>
      <c r="G749" s="7">
        <v>0.0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5" t="s">
        <v>12</v>
      </c>
      <c r="B750" s="5" t="s">
        <v>13</v>
      </c>
      <c r="C750" s="2" t="s">
        <v>607</v>
      </c>
      <c r="D750" s="2" t="s">
        <v>16</v>
      </c>
      <c r="E750" s="2" t="s">
        <v>14</v>
      </c>
      <c r="F750" s="6">
        <v>0.0</v>
      </c>
      <c r="G750" s="7">
        <v>0.0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5" t="s">
        <v>12</v>
      </c>
      <c r="B751" s="5" t="s">
        <v>13</v>
      </c>
      <c r="C751" s="2" t="s">
        <v>608</v>
      </c>
      <c r="D751" s="2" t="s">
        <v>26</v>
      </c>
      <c r="E751" s="2" t="s">
        <v>49</v>
      </c>
      <c r="F751" s="6">
        <v>100000.0</v>
      </c>
      <c r="G751" s="7">
        <v>109334.0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5" t="s">
        <v>12</v>
      </c>
      <c r="B752" s="5" t="s">
        <v>13</v>
      </c>
      <c r="C752" s="2" t="s">
        <v>609</v>
      </c>
      <c r="D752" s="2" t="s">
        <v>16</v>
      </c>
      <c r="E752" s="2" t="s">
        <v>14</v>
      </c>
      <c r="F752" s="6">
        <v>0.0</v>
      </c>
      <c r="G752" s="7">
        <v>0.0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5" t="s">
        <v>12</v>
      </c>
      <c r="B753" s="5" t="s">
        <v>13</v>
      </c>
      <c r="C753" s="2" t="s">
        <v>610</v>
      </c>
      <c r="D753" s="2" t="s">
        <v>16</v>
      </c>
      <c r="E753" s="2" t="s">
        <v>49</v>
      </c>
      <c r="F753" s="6">
        <v>0.0</v>
      </c>
      <c r="G753" s="7">
        <v>0.0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5" t="s">
        <v>12</v>
      </c>
      <c r="B754" s="5" t="s">
        <v>13</v>
      </c>
      <c r="C754" s="2" t="s">
        <v>611</v>
      </c>
      <c r="D754" s="2" t="s">
        <v>16</v>
      </c>
      <c r="E754" s="2" t="s">
        <v>14</v>
      </c>
      <c r="F754" s="6">
        <v>0.0</v>
      </c>
      <c r="G754" s="7">
        <v>0.0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5" t="s">
        <v>12</v>
      </c>
      <c r="B755" s="5" t="s">
        <v>13</v>
      </c>
      <c r="C755" s="2" t="s">
        <v>612</v>
      </c>
      <c r="D755" s="2" t="s">
        <v>16</v>
      </c>
      <c r="E755" s="2" t="s">
        <v>14</v>
      </c>
      <c r="F755" s="6">
        <v>0.0</v>
      </c>
      <c r="G755" s="7">
        <v>0.0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5" t="s">
        <v>12</v>
      </c>
      <c r="B756" s="5" t="s">
        <v>13</v>
      </c>
      <c r="C756" s="2" t="s">
        <v>613</v>
      </c>
      <c r="D756" s="2" t="s">
        <v>16</v>
      </c>
      <c r="E756" s="2" t="s">
        <v>14</v>
      </c>
      <c r="F756" s="6">
        <v>0.0</v>
      </c>
      <c r="G756" s="7">
        <v>0.0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5" t="s">
        <v>12</v>
      </c>
      <c r="B757" s="5" t="s">
        <v>13</v>
      </c>
      <c r="C757" s="2" t="s">
        <v>614</v>
      </c>
      <c r="D757" s="2" t="s">
        <v>16</v>
      </c>
      <c r="E757" s="2" t="s">
        <v>14</v>
      </c>
      <c r="F757" s="6">
        <v>0.0</v>
      </c>
      <c r="G757" s="7">
        <v>0.0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5" t="s">
        <v>12</v>
      </c>
      <c r="B758" s="5" t="s">
        <v>13</v>
      </c>
      <c r="C758" s="2" t="s">
        <v>615</v>
      </c>
      <c r="D758" s="2" t="s">
        <v>16</v>
      </c>
      <c r="E758" s="2" t="s">
        <v>14</v>
      </c>
      <c r="F758" s="6">
        <v>0.0</v>
      </c>
      <c r="G758" s="7">
        <v>0.0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5" t="s">
        <v>12</v>
      </c>
      <c r="B759" s="5" t="s">
        <v>13</v>
      </c>
      <c r="C759" s="2" t="s">
        <v>616</v>
      </c>
      <c r="D759" s="2" t="s">
        <v>16</v>
      </c>
      <c r="E759" s="2" t="s">
        <v>14</v>
      </c>
      <c r="F759" s="6">
        <v>355000.0</v>
      </c>
      <c r="G759" s="7">
        <v>0.0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5" t="s">
        <v>12</v>
      </c>
      <c r="B760" s="5" t="s">
        <v>13</v>
      </c>
      <c r="C760" s="2" t="s">
        <v>617</v>
      </c>
      <c r="D760" s="2" t="s">
        <v>16</v>
      </c>
      <c r="E760" s="2" t="s">
        <v>14</v>
      </c>
      <c r="F760" s="6">
        <v>20000.0</v>
      </c>
      <c r="G760" s="7">
        <v>0.0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5" t="s">
        <v>7</v>
      </c>
      <c r="B761" s="5" t="s">
        <v>13</v>
      </c>
      <c r="C761" s="2" t="s">
        <v>618</v>
      </c>
      <c r="D761" s="2" t="s">
        <v>32</v>
      </c>
      <c r="E761" s="2" t="s">
        <v>17</v>
      </c>
      <c r="F761" s="6">
        <v>50000.0</v>
      </c>
      <c r="G761" s="7">
        <v>0.0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5" t="s">
        <v>12</v>
      </c>
      <c r="B762" s="5" t="s">
        <v>13</v>
      </c>
      <c r="C762" s="2" t="s">
        <v>618</v>
      </c>
      <c r="D762" s="2" t="s">
        <v>32</v>
      </c>
      <c r="E762" s="2" t="s">
        <v>17</v>
      </c>
      <c r="F762" s="6">
        <v>7750000.0</v>
      </c>
      <c r="G762" s="7">
        <v>6199201.0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5" t="s">
        <v>12</v>
      </c>
      <c r="B763" s="5" t="s">
        <v>13</v>
      </c>
      <c r="C763" s="2" t="s">
        <v>619</v>
      </c>
      <c r="D763" s="2" t="s">
        <v>16</v>
      </c>
      <c r="E763" s="2" t="s">
        <v>14</v>
      </c>
      <c r="F763" s="6">
        <v>0.0</v>
      </c>
      <c r="G763" s="7">
        <v>0.0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5" t="s">
        <v>12</v>
      </c>
      <c r="B764" s="5" t="s">
        <v>13</v>
      </c>
      <c r="C764" s="2" t="s">
        <v>620</v>
      </c>
      <c r="D764" s="2" t="s">
        <v>16</v>
      </c>
      <c r="E764" s="2" t="s">
        <v>14</v>
      </c>
      <c r="F764" s="6">
        <v>0.0</v>
      </c>
      <c r="G764" s="7">
        <v>0.0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5" t="s">
        <v>12</v>
      </c>
      <c r="B765" s="5" t="s">
        <v>13</v>
      </c>
      <c r="C765" s="2" t="s">
        <v>621</v>
      </c>
      <c r="D765" s="2" t="s">
        <v>16</v>
      </c>
      <c r="E765" s="2" t="s">
        <v>14</v>
      </c>
      <c r="F765" s="6">
        <v>0.0</v>
      </c>
      <c r="G765" s="7">
        <v>0.0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5" t="s">
        <v>12</v>
      </c>
      <c r="B766" s="5" t="s">
        <v>13</v>
      </c>
      <c r="C766" s="2" t="s">
        <v>622</v>
      </c>
      <c r="D766" s="2" t="s">
        <v>16</v>
      </c>
      <c r="E766" s="2" t="s">
        <v>14</v>
      </c>
      <c r="F766" s="6">
        <v>0.0</v>
      </c>
      <c r="G766" s="7">
        <v>0.0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5" t="s">
        <v>7</v>
      </c>
      <c r="B767" s="5" t="s">
        <v>13</v>
      </c>
      <c r="C767" s="2" t="s">
        <v>623</v>
      </c>
      <c r="D767" s="2" t="s">
        <v>16</v>
      </c>
      <c r="E767" s="2" t="s">
        <v>55</v>
      </c>
      <c r="F767" s="6">
        <v>100000.0</v>
      </c>
      <c r="G767" s="7">
        <v>0.0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5" t="s">
        <v>12</v>
      </c>
      <c r="B768" s="5" t="s">
        <v>13</v>
      </c>
      <c r="C768" s="2" t="s">
        <v>623</v>
      </c>
      <c r="D768" s="2" t="s">
        <v>16</v>
      </c>
      <c r="E768" s="2" t="s">
        <v>55</v>
      </c>
      <c r="F768" s="6">
        <v>1500000.0</v>
      </c>
      <c r="G768" s="7">
        <v>0.0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5" t="s">
        <v>12</v>
      </c>
      <c r="B769" s="5" t="s">
        <v>8</v>
      </c>
      <c r="C769" s="2" t="s">
        <v>623</v>
      </c>
      <c r="D769" s="2" t="s">
        <v>16</v>
      </c>
      <c r="E769" s="2" t="s">
        <v>33</v>
      </c>
      <c r="F769" s="6">
        <v>0.0</v>
      </c>
      <c r="G769" s="7">
        <v>0.0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5" t="s">
        <v>12</v>
      </c>
      <c r="B770" s="5" t="s">
        <v>13</v>
      </c>
      <c r="C770" s="2" t="s">
        <v>624</v>
      </c>
      <c r="D770" s="2" t="s">
        <v>16</v>
      </c>
      <c r="E770" s="2" t="s">
        <v>14</v>
      </c>
      <c r="F770" s="6">
        <v>0.0</v>
      </c>
      <c r="G770" s="7">
        <v>0.0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5" t="s">
        <v>12</v>
      </c>
      <c r="B771" s="5" t="s">
        <v>8</v>
      </c>
      <c r="C771" s="2" t="s">
        <v>625</v>
      </c>
      <c r="D771" s="2" t="s">
        <v>48</v>
      </c>
      <c r="E771" s="2" t="s">
        <v>17</v>
      </c>
      <c r="F771" s="6">
        <v>909000.0</v>
      </c>
      <c r="G771" s="7">
        <v>838660.0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5" t="s">
        <v>12</v>
      </c>
      <c r="B772" s="5" t="s">
        <v>13</v>
      </c>
      <c r="C772" s="2" t="s">
        <v>625</v>
      </c>
      <c r="D772" s="2" t="s">
        <v>48</v>
      </c>
      <c r="E772" s="2" t="s">
        <v>49</v>
      </c>
      <c r="F772" s="6">
        <v>400000.0</v>
      </c>
      <c r="G772" s="7">
        <v>0.0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5" t="s">
        <v>12</v>
      </c>
      <c r="B773" s="5" t="s">
        <v>13</v>
      </c>
      <c r="C773" s="2" t="s">
        <v>626</v>
      </c>
      <c r="D773" s="2" t="s">
        <v>16</v>
      </c>
      <c r="E773" s="2" t="s">
        <v>14</v>
      </c>
      <c r="F773" s="6">
        <v>0.0</v>
      </c>
      <c r="G773" s="7">
        <v>0.0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5" t="s">
        <v>12</v>
      </c>
      <c r="B774" s="5" t="s">
        <v>13</v>
      </c>
      <c r="C774" s="2" t="s">
        <v>627</v>
      </c>
      <c r="D774" s="2" t="s">
        <v>16</v>
      </c>
      <c r="E774" s="2" t="s">
        <v>14</v>
      </c>
      <c r="F774" s="6">
        <v>0.0</v>
      </c>
      <c r="G774" s="7">
        <v>0.0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5" t="s">
        <v>7</v>
      </c>
      <c r="B775" s="5" t="s">
        <v>8</v>
      </c>
      <c r="C775" s="2" t="s">
        <v>628</v>
      </c>
      <c r="D775" s="2" t="s">
        <v>10</v>
      </c>
      <c r="E775" s="2" t="s">
        <v>11</v>
      </c>
      <c r="F775" s="6">
        <v>0.0</v>
      </c>
      <c r="G775" s="7">
        <v>0.0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5" t="s">
        <v>12</v>
      </c>
      <c r="B776" s="5" t="s">
        <v>13</v>
      </c>
      <c r="C776" s="2" t="s">
        <v>628</v>
      </c>
      <c r="D776" s="2" t="s">
        <v>10</v>
      </c>
      <c r="E776" s="2" t="s">
        <v>14</v>
      </c>
      <c r="F776" s="6">
        <v>0.0</v>
      </c>
      <c r="G776" s="7">
        <v>0.0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5" t="s">
        <v>12</v>
      </c>
      <c r="B777" s="5" t="s">
        <v>8</v>
      </c>
      <c r="C777" s="2" t="s">
        <v>628</v>
      </c>
      <c r="D777" s="2" t="s">
        <v>10</v>
      </c>
      <c r="E777" s="2" t="s">
        <v>11</v>
      </c>
      <c r="F777" s="6">
        <v>850000.0</v>
      </c>
      <c r="G777" s="7">
        <v>0.0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5" t="s">
        <v>12</v>
      </c>
      <c r="B778" s="5" t="s">
        <v>13</v>
      </c>
      <c r="C778" s="2" t="s">
        <v>629</v>
      </c>
      <c r="D778" s="2" t="s">
        <v>16</v>
      </c>
      <c r="E778" s="2" t="s">
        <v>11</v>
      </c>
      <c r="F778" s="6">
        <v>0.0</v>
      </c>
      <c r="G778" s="7">
        <v>0.0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5" t="s">
        <v>7</v>
      </c>
      <c r="B779" s="5" t="s">
        <v>13</v>
      </c>
      <c r="C779" s="2" t="s">
        <v>630</v>
      </c>
      <c r="D779" s="2" t="s">
        <v>16</v>
      </c>
      <c r="E779" s="2" t="s">
        <v>14</v>
      </c>
      <c r="F779" s="6">
        <v>0.0</v>
      </c>
      <c r="G779" s="7">
        <v>0.0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5" t="s">
        <v>12</v>
      </c>
      <c r="B780" s="5" t="s">
        <v>13</v>
      </c>
      <c r="C780" s="2" t="s">
        <v>630</v>
      </c>
      <c r="D780" s="2" t="s">
        <v>16</v>
      </c>
      <c r="E780" s="2" t="s">
        <v>96</v>
      </c>
      <c r="F780" s="6">
        <v>500000.0</v>
      </c>
      <c r="G780" s="7">
        <v>0.0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5" t="s">
        <v>12</v>
      </c>
      <c r="B781" s="5" t="s">
        <v>13</v>
      </c>
      <c r="C781" s="2" t="s">
        <v>631</v>
      </c>
      <c r="D781" s="2" t="s">
        <v>16</v>
      </c>
      <c r="E781" s="2" t="s">
        <v>14</v>
      </c>
      <c r="F781" s="6">
        <v>0.0</v>
      </c>
      <c r="G781" s="7">
        <v>0.0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5" t="s">
        <v>12</v>
      </c>
      <c r="B782" s="5" t="s">
        <v>8</v>
      </c>
      <c r="C782" s="2" t="s">
        <v>632</v>
      </c>
      <c r="D782" s="2" t="s">
        <v>16</v>
      </c>
      <c r="E782" s="2" t="s">
        <v>14</v>
      </c>
      <c r="F782" s="6">
        <v>0.0</v>
      </c>
      <c r="G782" s="7">
        <v>0.0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5" t="s">
        <v>12</v>
      </c>
      <c r="B783" s="5" t="s">
        <v>13</v>
      </c>
      <c r="C783" s="2" t="s">
        <v>633</v>
      </c>
      <c r="D783" s="2" t="s">
        <v>16</v>
      </c>
      <c r="E783" s="2" t="s">
        <v>14</v>
      </c>
      <c r="F783" s="6">
        <v>0.0</v>
      </c>
      <c r="G783" s="7">
        <v>0.0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5" t="s">
        <v>12</v>
      </c>
      <c r="B784" s="5" t="s">
        <v>13</v>
      </c>
      <c r="C784" s="2" t="s">
        <v>634</v>
      </c>
      <c r="D784" s="2" t="s">
        <v>16</v>
      </c>
      <c r="E784" s="2" t="s">
        <v>14</v>
      </c>
      <c r="F784" s="6">
        <v>0.0</v>
      </c>
      <c r="G784" s="7">
        <v>0.0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5" t="s">
        <v>7</v>
      </c>
      <c r="B785" s="5" t="s">
        <v>13</v>
      </c>
      <c r="C785" s="2" t="s">
        <v>635</v>
      </c>
      <c r="D785" s="2" t="s">
        <v>115</v>
      </c>
      <c r="E785" s="2" t="s">
        <v>14</v>
      </c>
      <c r="F785" s="6">
        <v>0.0</v>
      </c>
      <c r="G785" s="7">
        <v>0.0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5" t="s">
        <v>12</v>
      </c>
      <c r="B786" s="5" t="s">
        <v>13</v>
      </c>
      <c r="C786" s="2" t="s">
        <v>635</v>
      </c>
      <c r="D786" s="2" t="s">
        <v>115</v>
      </c>
      <c r="E786" s="2" t="s">
        <v>84</v>
      </c>
      <c r="F786" s="6">
        <v>100000.0</v>
      </c>
      <c r="G786" s="7">
        <v>0.0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5" t="s">
        <v>12</v>
      </c>
      <c r="B787" s="5" t="s">
        <v>13</v>
      </c>
      <c r="C787" s="2" t="s">
        <v>636</v>
      </c>
      <c r="D787" s="2" t="s">
        <v>16</v>
      </c>
      <c r="E787" s="2" t="s">
        <v>14</v>
      </c>
      <c r="F787" s="6">
        <v>0.0</v>
      </c>
      <c r="G787" s="7">
        <v>0.0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5" t="s">
        <v>12</v>
      </c>
      <c r="B788" s="5" t="s">
        <v>13</v>
      </c>
      <c r="C788" s="2" t="s">
        <v>637</v>
      </c>
      <c r="D788" s="2" t="s">
        <v>16</v>
      </c>
      <c r="E788" s="2" t="s">
        <v>14</v>
      </c>
      <c r="F788" s="6">
        <v>0.0</v>
      </c>
      <c r="G788" s="7">
        <v>0.0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5" t="s">
        <v>12</v>
      </c>
      <c r="B789" s="5" t="s">
        <v>13</v>
      </c>
      <c r="C789" s="2" t="s">
        <v>638</v>
      </c>
      <c r="D789" s="2" t="s">
        <v>16</v>
      </c>
      <c r="E789" s="2" t="s">
        <v>14</v>
      </c>
      <c r="F789" s="6">
        <v>0.0</v>
      </c>
      <c r="G789" s="7">
        <v>0.0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5" t="s">
        <v>12</v>
      </c>
      <c r="B790" s="5" t="s">
        <v>13</v>
      </c>
      <c r="C790" s="2" t="s">
        <v>639</v>
      </c>
      <c r="D790" s="2" t="s">
        <v>16</v>
      </c>
      <c r="E790" s="2" t="s">
        <v>14</v>
      </c>
      <c r="F790" s="6">
        <v>11000.0</v>
      </c>
      <c r="G790" s="7">
        <v>13098.0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5" t="s">
        <v>7</v>
      </c>
      <c r="B791" s="5" t="s">
        <v>13</v>
      </c>
      <c r="C791" s="2" t="s">
        <v>640</v>
      </c>
      <c r="D791" s="2" t="s">
        <v>26</v>
      </c>
      <c r="E791" s="2" t="s">
        <v>17</v>
      </c>
      <c r="F791" s="6">
        <v>0.0</v>
      </c>
      <c r="G791" s="7">
        <v>0.0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5" t="s">
        <v>12</v>
      </c>
      <c r="B792" s="5" t="s">
        <v>13</v>
      </c>
      <c r="C792" s="2" t="s">
        <v>640</v>
      </c>
      <c r="D792" s="2" t="s">
        <v>26</v>
      </c>
      <c r="E792" s="2" t="s">
        <v>14</v>
      </c>
      <c r="F792" s="6">
        <v>0.0</v>
      </c>
      <c r="G792" s="7">
        <v>0.0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5" t="s">
        <v>12</v>
      </c>
      <c r="B793" s="5" t="s">
        <v>13</v>
      </c>
      <c r="C793" s="2" t="s">
        <v>641</v>
      </c>
      <c r="D793" s="2" t="s">
        <v>16</v>
      </c>
      <c r="E793" s="2" t="s">
        <v>14</v>
      </c>
      <c r="F793" s="6">
        <v>0.0</v>
      </c>
      <c r="G793" s="7">
        <v>0.0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5" t="s">
        <v>12</v>
      </c>
      <c r="B794" s="5" t="s">
        <v>13</v>
      </c>
      <c r="C794" s="2" t="s">
        <v>642</v>
      </c>
      <c r="D794" s="2" t="s">
        <v>16</v>
      </c>
      <c r="E794" s="2" t="s">
        <v>11</v>
      </c>
      <c r="F794" s="6">
        <v>1179000.0</v>
      </c>
      <c r="G794" s="7">
        <v>0.0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5" t="s">
        <v>12</v>
      </c>
      <c r="B795" s="5" t="s">
        <v>8</v>
      </c>
      <c r="C795" s="2" t="s">
        <v>642</v>
      </c>
      <c r="D795" s="2" t="s">
        <v>16</v>
      </c>
      <c r="E795" s="2" t="s">
        <v>49</v>
      </c>
      <c r="F795" s="6">
        <v>1500000.0</v>
      </c>
      <c r="G795" s="7">
        <v>0.0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5" t="s">
        <v>7</v>
      </c>
      <c r="B796" s="5" t="s">
        <v>8</v>
      </c>
      <c r="C796" s="2" t="s">
        <v>643</v>
      </c>
      <c r="D796" s="2" t="s">
        <v>48</v>
      </c>
      <c r="E796" s="2" t="s">
        <v>11</v>
      </c>
      <c r="F796" s="6">
        <v>0.0</v>
      </c>
      <c r="G796" s="7">
        <v>0.0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5" t="s">
        <v>12</v>
      </c>
      <c r="B797" s="5" t="s">
        <v>8</v>
      </c>
      <c r="C797" s="2" t="s">
        <v>643</v>
      </c>
      <c r="D797" s="2" t="s">
        <v>48</v>
      </c>
      <c r="E797" s="2" t="s">
        <v>11</v>
      </c>
      <c r="F797" s="6">
        <v>3000000.0</v>
      </c>
      <c r="G797" s="7">
        <v>433837.8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5" t="s">
        <v>7</v>
      </c>
      <c r="B798" s="5" t="s">
        <v>13</v>
      </c>
      <c r="C798" s="2" t="s">
        <v>644</v>
      </c>
      <c r="D798" s="2" t="s">
        <v>19</v>
      </c>
      <c r="E798" s="2" t="s">
        <v>223</v>
      </c>
      <c r="F798" s="6">
        <v>700000.0</v>
      </c>
      <c r="G798" s="7">
        <v>0.0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5" t="s">
        <v>12</v>
      </c>
      <c r="B799" s="5" t="s">
        <v>13</v>
      </c>
      <c r="C799" s="2" t="s">
        <v>644</v>
      </c>
      <c r="D799" s="2" t="s">
        <v>19</v>
      </c>
      <c r="E799" s="2" t="s">
        <v>96</v>
      </c>
      <c r="F799" s="6">
        <v>700000.0</v>
      </c>
      <c r="G799" s="7">
        <v>489435.0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5" t="s">
        <v>12</v>
      </c>
      <c r="B800" s="5" t="s">
        <v>13</v>
      </c>
      <c r="C800" s="2" t="s">
        <v>645</v>
      </c>
      <c r="D800" s="2" t="s">
        <v>16</v>
      </c>
      <c r="E800" s="2" t="s">
        <v>14</v>
      </c>
      <c r="F800" s="6">
        <v>0.0</v>
      </c>
      <c r="G800" s="7">
        <v>500000.0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5" t="s">
        <v>12</v>
      </c>
      <c r="B801" s="5" t="s">
        <v>8</v>
      </c>
      <c r="C801" s="2" t="s">
        <v>646</v>
      </c>
      <c r="D801" s="2" t="s">
        <v>16</v>
      </c>
      <c r="E801" s="2" t="s">
        <v>14</v>
      </c>
      <c r="F801" s="6">
        <v>0.0</v>
      </c>
      <c r="G801" s="7">
        <v>0.0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5" t="s">
        <v>12</v>
      </c>
      <c r="B802" s="5" t="s">
        <v>13</v>
      </c>
      <c r="C802" s="2" t="s">
        <v>647</v>
      </c>
      <c r="D802" s="2" t="s">
        <v>16</v>
      </c>
      <c r="E802" s="2" t="s">
        <v>14</v>
      </c>
      <c r="F802" s="6">
        <v>1.0</v>
      </c>
      <c r="G802" s="7">
        <v>0.0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5" t="s">
        <v>7</v>
      </c>
      <c r="B803" s="5" t="s">
        <v>13</v>
      </c>
      <c r="C803" s="2" t="s">
        <v>648</v>
      </c>
      <c r="D803" s="2" t="s">
        <v>48</v>
      </c>
      <c r="E803" s="2" t="s">
        <v>173</v>
      </c>
      <c r="F803" s="6">
        <v>2050000.0</v>
      </c>
      <c r="G803" s="7">
        <v>0.0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5" t="s">
        <v>12</v>
      </c>
      <c r="B804" s="5" t="s">
        <v>13</v>
      </c>
      <c r="C804" s="2" t="s">
        <v>648</v>
      </c>
      <c r="D804" s="2" t="s">
        <v>48</v>
      </c>
      <c r="E804" s="2" t="s">
        <v>11</v>
      </c>
      <c r="F804" s="6">
        <v>2055000.0</v>
      </c>
      <c r="G804" s="7">
        <v>2168904.0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5" t="s">
        <v>12</v>
      </c>
      <c r="B805" s="5" t="s">
        <v>13</v>
      </c>
      <c r="C805" s="2" t="s">
        <v>649</v>
      </c>
      <c r="D805" s="2" t="s">
        <v>16</v>
      </c>
      <c r="E805" s="2" t="s">
        <v>14</v>
      </c>
      <c r="F805" s="6">
        <v>0.0</v>
      </c>
      <c r="G805" s="7">
        <v>0.0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5" t="s">
        <v>12</v>
      </c>
      <c r="B806" s="5" t="s">
        <v>13</v>
      </c>
      <c r="C806" s="2" t="s">
        <v>650</v>
      </c>
      <c r="D806" s="2" t="s">
        <v>16</v>
      </c>
      <c r="E806" s="2" t="s">
        <v>14</v>
      </c>
      <c r="F806" s="6">
        <v>478000.0</v>
      </c>
      <c r="G806" s="7">
        <v>0.0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5" t="s">
        <v>12</v>
      </c>
      <c r="B807" s="5" t="s">
        <v>8</v>
      </c>
      <c r="C807" s="2" t="s">
        <v>651</v>
      </c>
      <c r="D807" s="2" t="s">
        <v>48</v>
      </c>
      <c r="E807" s="2" t="s">
        <v>14</v>
      </c>
      <c r="F807" s="6">
        <v>3200000.0</v>
      </c>
      <c r="G807" s="7">
        <v>0.0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5" t="s">
        <v>12</v>
      </c>
      <c r="B808" s="5" t="s">
        <v>8</v>
      </c>
      <c r="C808" s="2" t="s">
        <v>652</v>
      </c>
      <c r="D808" s="2" t="s">
        <v>16</v>
      </c>
      <c r="E808" s="2" t="s">
        <v>14</v>
      </c>
      <c r="F808" s="6">
        <v>2000000.0</v>
      </c>
      <c r="G808" s="7">
        <v>305.0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5" t="s">
        <v>12</v>
      </c>
      <c r="B809" s="5" t="s">
        <v>13</v>
      </c>
      <c r="C809" s="2" t="s">
        <v>652</v>
      </c>
      <c r="D809" s="2" t="s">
        <v>16</v>
      </c>
      <c r="E809" s="2" t="s">
        <v>14</v>
      </c>
      <c r="F809" s="6">
        <v>2934000.0</v>
      </c>
      <c r="G809" s="7">
        <v>0.0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5" t="s">
        <v>12</v>
      </c>
      <c r="B810" s="5" t="s">
        <v>13</v>
      </c>
      <c r="C810" s="2" t="s">
        <v>653</v>
      </c>
      <c r="D810" s="2" t="s">
        <v>16</v>
      </c>
      <c r="E810" s="2" t="s">
        <v>14</v>
      </c>
      <c r="F810" s="6">
        <v>0.0</v>
      </c>
      <c r="G810" s="7">
        <v>0.0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5" t="s">
        <v>12</v>
      </c>
      <c r="B811" s="5" t="s">
        <v>13</v>
      </c>
      <c r="C811" s="2" t="s">
        <v>654</v>
      </c>
      <c r="D811" s="2" t="s">
        <v>16</v>
      </c>
      <c r="E811" s="2" t="s">
        <v>14</v>
      </c>
      <c r="F811" s="6">
        <v>0.0</v>
      </c>
      <c r="G811" s="7">
        <v>0.0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5" t="s">
        <v>7</v>
      </c>
      <c r="B812" s="5" t="s">
        <v>13</v>
      </c>
      <c r="C812" s="2" t="s">
        <v>655</v>
      </c>
      <c r="D812" s="2" t="s">
        <v>16</v>
      </c>
      <c r="E812" s="2" t="s">
        <v>23</v>
      </c>
      <c r="F812" s="6">
        <v>500000.0</v>
      </c>
      <c r="G812" s="7">
        <v>0.0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5" t="s">
        <v>12</v>
      </c>
      <c r="B813" s="5" t="s">
        <v>13</v>
      </c>
      <c r="C813" s="2" t="s">
        <v>655</v>
      </c>
      <c r="D813" s="2" t="s">
        <v>16</v>
      </c>
      <c r="E813" s="2" t="s">
        <v>17</v>
      </c>
      <c r="F813" s="6">
        <v>500000.0</v>
      </c>
      <c r="G813" s="7">
        <v>226973.0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5" t="s">
        <v>12</v>
      </c>
      <c r="B814" s="5" t="s">
        <v>13</v>
      </c>
      <c r="C814" s="2" t="s">
        <v>656</v>
      </c>
      <c r="D814" s="2" t="s">
        <v>16</v>
      </c>
      <c r="E814" s="2" t="s">
        <v>14</v>
      </c>
      <c r="F814" s="6">
        <v>0.0</v>
      </c>
      <c r="G814" s="7">
        <v>0.0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5" t="s">
        <v>12</v>
      </c>
      <c r="B815" s="5" t="s">
        <v>8</v>
      </c>
      <c r="C815" s="2" t="s">
        <v>657</v>
      </c>
      <c r="D815" s="2" t="s">
        <v>16</v>
      </c>
      <c r="E815" s="2" t="s">
        <v>33</v>
      </c>
      <c r="F815" s="6">
        <v>0.0</v>
      </c>
      <c r="G815" s="7">
        <v>0.0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5" t="s">
        <v>12</v>
      </c>
      <c r="B816" s="5" t="s">
        <v>13</v>
      </c>
      <c r="C816" s="2" t="s">
        <v>658</v>
      </c>
      <c r="D816" s="2" t="s">
        <v>16</v>
      </c>
      <c r="E816" s="2" t="s">
        <v>14</v>
      </c>
      <c r="F816" s="6">
        <v>0.0</v>
      </c>
      <c r="G816" s="7">
        <v>0.0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5" t="s">
        <v>12</v>
      </c>
      <c r="B817" s="5" t="s">
        <v>13</v>
      </c>
      <c r="C817" s="2" t="s">
        <v>659</v>
      </c>
      <c r="D817" s="2" t="s">
        <v>16</v>
      </c>
      <c r="E817" s="2" t="s">
        <v>14</v>
      </c>
      <c r="F817" s="6">
        <v>0.0</v>
      </c>
      <c r="G817" s="7">
        <v>0.0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5" t="s">
        <v>12</v>
      </c>
      <c r="B818" s="5" t="s">
        <v>13</v>
      </c>
      <c r="C818" s="2" t="s">
        <v>660</v>
      </c>
      <c r="D818" s="2" t="s">
        <v>16</v>
      </c>
      <c r="E818" s="2" t="s">
        <v>14</v>
      </c>
      <c r="F818" s="6">
        <v>0.0</v>
      </c>
      <c r="G818" s="7">
        <v>0.0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5" t="s">
        <v>7</v>
      </c>
      <c r="B819" s="5" t="s">
        <v>13</v>
      </c>
      <c r="C819" s="2" t="s">
        <v>661</v>
      </c>
      <c r="D819" s="2" t="s">
        <v>26</v>
      </c>
      <c r="E819" s="2" t="s">
        <v>49</v>
      </c>
      <c r="F819" s="6">
        <v>1000000.0</v>
      </c>
      <c r="G819" s="7">
        <v>0.0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5" t="s">
        <v>12</v>
      </c>
      <c r="B820" s="5" t="s">
        <v>13</v>
      </c>
      <c r="C820" s="2" t="s">
        <v>661</v>
      </c>
      <c r="D820" s="2" t="s">
        <v>26</v>
      </c>
      <c r="E820" s="2" t="s">
        <v>49</v>
      </c>
      <c r="F820" s="6">
        <v>2000000.0</v>
      </c>
      <c r="G820" s="7">
        <v>1127749.0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5" t="s">
        <v>12</v>
      </c>
      <c r="B821" s="5" t="s">
        <v>13</v>
      </c>
      <c r="C821" s="2" t="s">
        <v>662</v>
      </c>
      <c r="D821" s="2" t="s">
        <v>16</v>
      </c>
      <c r="E821" s="2" t="s">
        <v>14</v>
      </c>
      <c r="F821" s="6">
        <v>0.0</v>
      </c>
      <c r="G821" s="7">
        <v>0.0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5" t="s">
        <v>7</v>
      </c>
      <c r="B822" s="5" t="s">
        <v>8</v>
      </c>
      <c r="C822" s="2" t="s">
        <v>663</v>
      </c>
      <c r="D822" s="2" t="s">
        <v>16</v>
      </c>
      <c r="E822" s="2" t="s">
        <v>14</v>
      </c>
      <c r="F822" s="6">
        <v>0.0</v>
      </c>
      <c r="G822" s="7">
        <v>0.0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5" t="s">
        <v>12</v>
      </c>
      <c r="B823" s="5" t="s">
        <v>13</v>
      </c>
      <c r="C823" s="2" t="s">
        <v>663</v>
      </c>
      <c r="D823" s="2" t="s">
        <v>16</v>
      </c>
      <c r="E823" s="2" t="s">
        <v>14</v>
      </c>
      <c r="F823" s="6">
        <v>0.0</v>
      </c>
      <c r="G823" s="7">
        <v>0.0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5" t="s">
        <v>12</v>
      </c>
      <c r="B824" s="5" t="s">
        <v>13</v>
      </c>
      <c r="C824" s="2" t="s">
        <v>664</v>
      </c>
      <c r="D824" s="2" t="s">
        <v>16</v>
      </c>
      <c r="E824" s="2" t="s">
        <v>49</v>
      </c>
      <c r="F824" s="6">
        <v>0.0</v>
      </c>
      <c r="G824" s="7">
        <v>0.0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5" t="s">
        <v>12</v>
      </c>
      <c r="B825" s="5" t="s">
        <v>8</v>
      </c>
      <c r="C825" s="2" t="s">
        <v>664</v>
      </c>
      <c r="D825" s="2" t="s">
        <v>16</v>
      </c>
      <c r="E825" s="2" t="s">
        <v>14</v>
      </c>
      <c r="F825" s="6">
        <v>1.0</v>
      </c>
      <c r="G825" s="7">
        <v>0.0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5" t="s">
        <v>12</v>
      </c>
      <c r="B826" s="5" t="s">
        <v>13</v>
      </c>
      <c r="C826" s="2" t="s">
        <v>665</v>
      </c>
      <c r="D826" s="2" t="s">
        <v>16</v>
      </c>
      <c r="E826" s="2" t="s">
        <v>14</v>
      </c>
      <c r="F826" s="6">
        <v>0.0</v>
      </c>
      <c r="G826" s="7">
        <v>0.0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5" t="s">
        <v>12</v>
      </c>
      <c r="B827" s="5" t="s">
        <v>8</v>
      </c>
      <c r="C827" s="2" t="s">
        <v>666</v>
      </c>
      <c r="D827" s="2" t="s">
        <v>48</v>
      </c>
      <c r="E827" s="2" t="s">
        <v>11</v>
      </c>
      <c r="F827" s="6">
        <v>932000.0</v>
      </c>
      <c r="G827" s="7">
        <v>568921.0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5" t="s">
        <v>12</v>
      </c>
      <c r="B828" s="5" t="s">
        <v>13</v>
      </c>
      <c r="C828" s="2" t="s">
        <v>667</v>
      </c>
      <c r="D828" s="2" t="s">
        <v>16</v>
      </c>
      <c r="E828" s="2" t="s">
        <v>96</v>
      </c>
      <c r="F828" s="6">
        <v>2000000.0</v>
      </c>
      <c r="G828" s="7">
        <v>2167579.0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5" t="s">
        <v>12</v>
      </c>
      <c r="B829" s="5" t="s">
        <v>13</v>
      </c>
      <c r="C829" s="2" t="s">
        <v>668</v>
      </c>
      <c r="D829" s="2" t="s">
        <v>16</v>
      </c>
      <c r="E829" s="2" t="s">
        <v>14</v>
      </c>
      <c r="F829" s="6">
        <v>0.0</v>
      </c>
      <c r="G829" s="7">
        <v>1.3254E7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5" t="s">
        <v>12</v>
      </c>
      <c r="B830" s="5" t="s">
        <v>13</v>
      </c>
      <c r="C830" s="2" t="s">
        <v>669</v>
      </c>
      <c r="D830" s="2" t="s">
        <v>16</v>
      </c>
      <c r="E830" s="2" t="s">
        <v>17</v>
      </c>
      <c r="F830" s="6">
        <v>156000.0</v>
      </c>
      <c r="G830" s="7">
        <v>198771.0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5" t="s">
        <v>7</v>
      </c>
      <c r="B831" s="5" t="s">
        <v>13</v>
      </c>
      <c r="C831" s="2" t="s">
        <v>670</v>
      </c>
      <c r="D831" s="2" t="s">
        <v>16</v>
      </c>
      <c r="E831" s="2" t="s">
        <v>14</v>
      </c>
      <c r="F831" s="6">
        <v>0.0</v>
      </c>
      <c r="G831" s="7">
        <v>0.0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5" t="s">
        <v>12</v>
      </c>
      <c r="B832" s="5" t="s">
        <v>13</v>
      </c>
      <c r="C832" s="2" t="s">
        <v>670</v>
      </c>
      <c r="D832" s="2" t="s">
        <v>16</v>
      </c>
      <c r="E832" s="2" t="s">
        <v>17</v>
      </c>
      <c r="F832" s="6">
        <v>7500000.0</v>
      </c>
      <c r="G832" s="7">
        <v>3056562.14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5" t="s">
        <v>12</v>
      </c>
      <c r="B833" s="5" t="s">
        <v>13</v>
      </c>
      <c r="C833" s="2" t="s">
        <v>671</v>
      </c>
      <c r="D833" s="2" t="s">
        <v>16</v>
      </c>
      <c r="E833" s="2" t="s">
        <v>14</v>
      </c>
      <c r="F833" s="6">
        <v>0.0</v>
      </c>
      <c r="G833" s="7">
        <v>1180000.0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5" t="s">
        <v>12</v>
      </c>
      <c r="B834" s="5" t="s">
        <v>13</v>
      </c>
      <c r="C834" s="2" t="s">
        <v>672</v>
      </c>
      <c r="D834" s="2" t="s">
        <v>16</v>
      </c>
      <c r="E834" s="2" t="s">
        <v>49</v>
      </c>
      <c r="F834" s="6">
        <v>0.0</v>
      </c>
      <c r="G834" s="7">
        <v>0.0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5" t="s">
        <v>12</v>
      </c>
      <c r="B835" s="5" t="s">
        <v>8</v>
      </c>
      <c r="C835" s="2" t="s">
        <v>672</v>
      </c>
      <c r="D835" s="2" t="s">
        <v>16</v>
      </c>
      <c r="E835" s="2" t="s">
        <v>14</v>
      </c>
      <c r="F835" s="6">
        <v>1.0</v>
      </c>
      <c r="G835" s="7">
        <v>0.0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5" t="s">
        <v>12</v>
      </c>
      <c r="B836" s="5" t="s">
        <v>13</v>
      </c>
      <c r="C836" s="2" t="s">
        <v>673</v>
      </c>
      <c r="D836" s="2" t="s">
        <v>10</v>
      </c>
      <c r="E836" s="2" t="s">
        <v>14</v>
      </c>
      <c r="F836" s="6">
        <v>600000.0</v>
      </c>
      <c r="G836" s="7">
        <v>0.0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5" t="s">
        <v>12</v>
      </c>
      <c r="B837" s="5" t="s">
        <v>8</v>
      </c>
      <c r="C837" s="2" t="s">
        <v>673</v>
      </c>
      <c r="D837" s="2" t="s">
        <v>10</v>
      </c>
      <c r="E837" s="2" t="s">
        <v>14</v>
      </c>
      <c r="F837" s="6">
        <v>1.0</v>
      </c>
      <c r="G837" s="7">
        <v>0.0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5" t="s">
        <v>12</v>
      </c>
      <c r="B838" s="5" t="s">
        <v>8</v>
      </c>
      <c r="C838" s="2" t="s">
        <v>674</v>
      </c>
      <c r="D838" s="2" t="s">
        <v>10</v>
      </c>
      <c r="E838" s="2" t="s">
        <v>11</v>
      </c>
      <c r="F838" s="6">
        <v>850000.0</v>
      </c>
      <c r="G838" s="7">
        <v>847883.0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5" t="s">
        <v>12</v>
      </c>
      <c r="B839" s="5" t="s">
        <v>13</v>
      </c>
      <c r="C839" s="2" t="s">
        <v>674</v>
      </c>
      <c r="D839" s="2" t="s">
        <v>10</v>
      </c>
      <c r="E839" s="2" t="s">
        <v>14</v>
      </c>
      <c r="F839" s="6">
        <v>404000.0</v>
      </c>
      <c r="G839" s="7">
        <v>0.0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5" t="s">
        <v>12</v>
      </c>
      <c r="B840" s="5" t="s">
        <v>13</v>
      </c>
      <c r="C840" s="2" t="s">
        <v>675</v>
      </c>
      <c r="D840" s="2" t="s">
        <v>10</v>
      </c>
      <c r="E840" s="2" t="s">
        <v>14</v>
      </c>
      <c r="F840" s="6">
        <v>0.0</v>
      </c>
      <c r="G840" s="7">
        <v>3000.0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5" t="s">
        <v>12</v>
      </c>
      <c r="B841" s="5" t="s">
        <v>8</v>
      </c>
      <c r="C841" s="2" t="s">
        <v>676</v>
      </c>
      <c r="D841" s="2" t="s">
        <v>16</v>
      </c>
      <c r="E841" s="2" t="s">
        <v>14</v>
      </c>
      <c r="F841" s="6">
        <v>0.0</v>
      </c>
      <c r="G841" s="7">
        <v>0.0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5" t="s">
        <v>7</v>
      </c>
      <c r="B842" s="5" t="s">
        <v>8</v>
      </c>
      <c r="C842" s="2" t="s">
        <v>677</v>
      </c>
      <c r="D842" s="2" t="s">
        <v>10</v>
      </c>
      <c r="E842" s="2" t="s">
        <v>49</v>
      </c>
      <c r="F842" s="6">
        <v>110400.0</v>
      </c>
      <c r="G842" s="7">
        <v>0.0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5" t="s">
        <v>12</v>
      </c>
      <c r="B843" s="5" t="s">
        <v>13</v>
      </c>
      <c r="C843" s="2" t="s">
        <v>677</v>
      </c>
      <c r="D843" s="2" t="s">
        <v>10</v>
      </c>
      <c r="E843" s="2" t="s">
        <v>14</v>
      </c>
      <c r="F843" s="6">
        <v>0.0</v>
      </c>
      <c r="G843" s="7">
        <v>0.0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5" t="s">
        <v>12</v>
      </c>
      <c r="B844" s="5" t="s">
        <v>8</v>
      </c>
      <c r="C844" s="2" t="s">
        <v>677</v>
      </c>
      <c r="D844" s="2" t="s">
        <v>10</v>
      </c>
      <c r="E844" s="2" t="s">
        <v>49</v>
      </c>
      <c r="F844" s="6">
        <v>370000.0</v>
      </c>
      <c r="G844" s="7">
        <v>226584.0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5" t="s">
        <v>7</v>
      </c>
      <c r="B845" s="5" t="s">
        <v>13</v>
      </c>
      <c r="C845" s="2" t="s">
        <v>678</v>
      </c>
      <c r="D845" s="2" t="s">
        <v>16</v>
      </c>
      <c r="E845" s="2" t="s">
        <v>14</v>
      </c>
      <c r="F845" s="6">
        <v>0.0</v>
      </c>
      <c r="G845" s="7">
        <v>0.0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5" t="s">
        <v>12</v>
      </c>
      <c r="B846" s="5" t="s">
        <v>13</v>
      </c>
      <c r="C846" s="2" t="s">
        <v>678</v>
      </c>
      <c r="D846" s="2" t="s">
        <v>16</v>
      </c>
      <c r="E846" s="2" t="s">
        <v>17</v>
      </c>
      <c r="F846" s="6">
        <v>4000.0</v>
      </c>
      <c r="G846" s="7">
        <v>0.0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5" t="s">
        <v>12</v>
      </c>
      <c r="B847" s="5" t="s">
        <v>13</v>
      </c>
      <c r="C847" s="2" t="s">
        <v>679</v>
      </c>
      <c r="D847" s="2" t="s">
        <v>16</v>
      </c>
      <c r="E847" s="2" t="s">
        <v>14</v>
      </c>
      <c r="F847" s="6">
        <v>0.0</v>
      </c>
      <c r="G847" s="7">
        <v>0.0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5" t="s">
        <v>12</v>
      </c>
      <c r="B848" s="5" t="s">
        <v>13</v>
      </c>
      <c r="C848" s="2" t="s">
        <v>680</v>
      </c>
      <c r="D848" s="2" t="s">
        <v>419</v>
      </c>
      <c r="E848" s="2" t="s">
        <v>11</v>
      </c>
      <c r="F848" s="6">
        <v>300000.0</v>
      </c>
      <c r="G848" s="7">
        <v>0.0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5" t="s">
        <v>12</v>
      </c>
      <c r="B849" s="5" t="s">
        <v>13</v>
      </c>
      <c r="C849" s="2" t="s">
        <v>681</v>
      </c>
      <c r="D849" s="2" t="s">
        <v>16</v>
      </c>
      <c r="E849" s="2" t="s">
        <v>55</v>
      </c>
      <c r="F849" s="6">
        <v>1215000.0</v>
      </c>
      <c r="G849" s="7">
        <v>-17585.0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5" t="s">
        <v>12</v>
      </c>
      <c r="B850" s="5" t="s">
        <v>13</v>
      </c>
      <c r="C850" s="2" t="s">
        <v>682</v>
      </c>
      <c r="D850" s="2" t="s">
        <v>16</v>
      </c>
      <c r="E850" s="2" t="s">
        <v>55</v>
      </c>
      <c r="F850" s="6">
        <v>0.0</v>
      </c>
      <c r="G850" s="7">
        <v>0.0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5" t="s">
        <v>7</v>
      </c>
      <c r="B851" s="5" t="s">
        <v>8</v>
      </c>
      <c r="C851" s="2" t="s">
        <v>683</v>
      </c>
      <c r="D851" s="2" t="s">
        <v>10</v>
      </c>
      <c r="E851" s="2" t="s">
        <v>14</v>
      </c>
      <c r="F851" s="6">
        <v>0.0</v>
      </c>
      <c r="G851" s="7">
        <v>0.0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5" t="s">
        <v>12</v>
      </c>
      <c r="B852" s="5" t="s">
        <v>8</v>
      </c>
      <c r="C852" s="2" t="s">
        <v>683</v>
      </c>
      <c r="D852" s="2" t="s">
        <v>10</v>
      </c>
      <c r="E852" s="2" t="s">
        <v>49</v>
      </c>
      <c r="F852" s="6">
        <v>200000.0</v>
      </c>
      <c r="G852" s="7">
        <v>0.0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5" t="s">
        <v>12</v>
      </c>
      <c r="B853" s="5" t="s">
        <v>8</v>
      </c>
      <c r="C853" s="2" t="s">
        <v>684</v>
      </c>
      <c r="D853" s="2" t="s">
        <v>10</v>
      </c>
      <c r="E853" s="2" t="s">
        <v>49</v>
      </c>
      <c r="F853" s="6">
        <v>25000.0</v>
      </c>
      <c r="G853" s="7">
        <v>22420.0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5" t="s">
        <v>12</v>
      </c>
      <c r="B854" s="5" t="s">
        <v>13</v>
      </c>
      <c r="C854" s="2" t="s">
        <v>684</v>
      </c>
      <c r="D854" s="2" t="s">
        <v>10</v>
      </c>
      <c r="E854" s="2" t="s">
        <v>14</v>
      </c>
      <c r="F854" s="6">
        <v>32000.0</v>
      </c>
      <c r="G854" s="7">
        <v>0.0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5" t="s">
        <v>12</v>
      </c>
      <c r="B855" s="5" t="s">
        <v>13</v>
      </c>
      <c r="C855" s="2" t="s">
        <v>685</v>
      </c>
      <c r="D855" s="2" t="s">
        <v>16</v>
      </c>
      <c r="E855" s="2" t="s">
        <v>14</v>
      </c>
      <c r="F855" s="6">
        <v>3075670.0</v>
      </c>
      <c r="G855" s="7">
        <v>0.0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5" t="s">
        <v>12</v>
      </c>
      <c r="B856" s="5" t="s">
        <v>8</v>
      </c>
      <c r="C856" s="2" t="s">
        <v>686</v>
      </c>
      <c r="D856" s="2" t="s">
        <v>16</v>
      </c>
      <c r="E856" s="2" t="s">
        <v>14</v>
      </c>
      <c r="F856" s="6">
        <v>1.0</v>
      </c>
      <c r="G856" s="7">
        <v>0.0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5" t="s">
        <v>12</v>
      </c>
      <c r="B857" s="5" t="s">
        <v>13</v>
      </c>
      <c r="C857" s="2" t="s">
        <v>687</v>
      </c>
      <c r="D857" s="2" t="s">
        <v>16</v>
      </c>
      <c r="E857" s="2" t="s">
        <v>14</v>
      </c>
      <c r="F857" s="6">
        <v>0.0</v>
      </c>
      <c r="G857" s="7">
        <v>0.0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5" t="s">
        <v>7</v>
      </c>
      <c r="B858" s="5" t="s">
        <v>13</v>
      </c>
      <c r="C858" s="2" t="s">
        <v>688</v>
      </c>
      <c r="D858" s="2" t="s">
        <v>16</v>
      </c>
      <c r="E858" s="2" t="s">
        <v>17</v>
      </c>
      <c r="F858" s="6">
        <v>0.0</v>
      </c>
      <c r="G858" s="7">
        <v>0.0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5" t="s">
        <v>12</v>
      </c>
      <c r="B859" s="5" t="s">
        <v>13</v>
      </c>
      <c r="C859" s="2" t="s">
        <v>688</v>
      </c>
      <c r="D859" s="2" t="s">
        <v>16</v>
      </c>
      <c r="E859" s="2" t="s">
        <v>17</v>
      </c>
      <c r="F859" s="6">
        <v>100000.0</v>
      </c>
      <c r="G859" s="7">
        <v>31199.0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5" t="s">
        <v>7</v>
      </c>
      <c r="B860" s="5" t="s">
        <v>13</v>
      </c>
      <c r="C860" s="2" t="s">
        <v>689</v>
      </c>
      <c r="D860" s="2" t="s">
        <v>16</v>
      </c>
      <c r="E860" s="2" t="s">
        <v>320</v>
      </c>
      <c r="F860" s="6">
        <v>79000.0</v>
      </c>
      <c r="G860" s="7">
        <v>0.0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5" t="s">
        <v>12</v>
      </c>
      <c r="B861" s="5" t="s">
        <v>13</v>
      </c>
      <c r="C861" s="2" t="s">
        <v>689</v>
      </c>
      <c r="D861" s="2" t="s">
        <v>16</v>
      </c>
      <c r="E861" s="2" t="s">
        <v>14</v>
      </c>
      <c r="F861" s="6">
        <v>79000.0</v>
      </c>
      <c r="G861" s="7">
        <v>-637.0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5" t="s">
        <v>12</v>
      </c>
      <c r="B862" s="5" t="s">
        <v>13</v>
      </c>
      <c r="C862" s="2" t="s">
        <v>690</v>
      </c>
      <c r="D862" s="2" t="s">
        <v>16</v>
      </c>
      <c r="E862" s="2" t="s">
        <v>14</v>
      </c>
      <c r="F862" s="6">
        <v>0.0</v>
      </c>
      <c r="G862" s="7">
        <v>0.0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5" t="s">
        <v>12</v>
      </c>
      <c r="B863" s="5" t="s">
        <v>13</v>
      </c>
      <c r="C863" s="2" t="s">
        <v>691</v>
      </c>
      <c r="D863" s="2" t="s">
        <v>16</v>
      </c>
      <c r="E863" s="2" t="s">
        <v>14</v>
      </c>
      <c r="F863" s="6">
        <v>0.0</v>
      </c>
      <c r="G863" s="7">
        <v>0.0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5" t="s">
        <v>12</v>
      </c>
      <c r="B864" s="5" t="s">
        <v>13</v>
      </c>
      <c r="C864" s="2" t="s">
        <v>692</v>
      </c>
      <c r="D864" s="2" t="s">
        <v>16</v>
      </c>
      <c r="E864" s="2" t="s">
        <v>14</v>
      </c>
      <c r="F864" s="6">
        <v>0.0</v>
      </c>
      <c r="G864" s="7">
        <v>0.0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5" t="s">
        <v>12</v>
      </c>
      <c r="B865" s="5" t="s">
        <v>8</v>
      </c>
      <c r="C865" s="2" t="s">
        <v>693</v>
      </c>
      <c r="D865" s="2" t="s">
        <v>16</v>
      </c>
      <c r="E865" s="2" t="s">
        <v>49</v>
      </c>
      <c r="F865" s="6">
        <v>150000.0</v>
      </c>
      <c r="G865" s="7">
        <v>55460.0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5" t="s">
        <v>7</v>
      </c>
      <c r="B866" s="5" t="s">
        <v>13</v>
      </c>
      <c r="C866" s="2" t="s">
        <v>694</v>
      </c>
      <c r="D866" s="2" t="s">
        <v>16</v>
      </c>
      <c r="E866" s="2" t="s">
        <v>144</v>
      </c>
      <c r="F866" s="6">
        <v>1604000.0</v>
      </c>
      <c r="G866" s="7">
        <v>0.0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5" t="s">
        <v>12</v>
      </c>
      <c r="B867" s="5" t="s">
        <v>13</v>
      </c>
      <c r="C867" s="2" t="s">
        <v>694</v>
      </c>
      <c r="D867" s="2" t="s">
        <v>16</v>
      </c>
      <c r="E867" s="2" t="s">
        <v>49</v>
      </c>
      <c r="F867" s="6">
        <v>1400000.0</v>
      </c>
      <c r="G867" s="7">
        <v>2263355.0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5" t="s">
        <v>7</v>
      </c>
      <c r="B868" s="5" t="s">
        <v>13</v>
      </c>
      <c r="C868" s="2" t="s">
        <v>695</v>
      </c>
      <c r="D868" s="2" t="s">
        <v>32</v>
      </c>
      <c r="E868" s="2" t="s">
        <v>17</v>
      </c>
      <c r="F868" s="6">
        <v>400000.0</v>
      </c>
      <c r="G868" s="7">
        <v>0.0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5" t="s">
        <v>12</v>
      </c>
      <c r="B869" s="5" t="s">
        <v>13</v>
      </c>
      <c r="C869" s="2" t="s">
        <v>695</v>
      </c>
      <c r="D869" s="2" t="s">
        <v>32</v>
      </c>
      <c r="E869" s="2" t="s">
        <v>17</v>
      </c>
      <c r="F869" s="6">
        <v>510000.0</v>
      </c>
      <c r="G869" s="7">
        <v>358809.0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5" t="s">
        <v>12</v>
      </c>
      <c r="B870" s="5" t="s">
        <v>13</v>
      </c>
      <c r="C870" s="2" t="s">
        <v>696</v>
      </c>
      <c r="D870" s="2" t="s">
        <v>16</v>
      </c>
      <c r="E870" s="2" t="s">
        <v>14</v>
      </c>
      <c r="F870" s="6">
        <v>0.0</v>
      </c>
      <c r="G870" s="7">
        <v>-100000.0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5" t="s">
        <v>7</v>
      </c>
      <c r="B871" s="5" t="s">
        <v>13</v>
      </c>
      <c r="C871" s="2" t="s">
        <v>697</v>
      </c>
      <c r="D871" s="2" t="s">
        <v>32</v>
      </c>
      <c r="E871" s="2" t="s">
        <v>14</v>
      </c>
      <c r="F871" s="6">
        <v>0.0</v>
      </c>
      <c r="G871" s="7">
        <v>0.0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5" t="s">
        <v>12</v>
      </c>
      <c r="B872" s="5" t="s">
        <v>13</v>
      </c>
      <c r="C872" s="2" t="s">
        <v>697</v>
      </c>
      <c r="D872" s="2" t="s">
        <v>32</v>
      </c>
      <c r="E872" s="2" t="s">
        <v>49</v>
      </c>
      <c r="F872" s="6">
        <v>1500000.0</v>
      </c>
      <c r="G872" s="7">
        <v>153014.0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5" t="s">
        <v>12</v>
      </c>
      <c r="B873" s="5" t="s">
        <v>13</v>
      </c>
      <c r="C873" s="2" t="s">
        <v>698</v>
      </c>
      <c r="D873" s="2" t="s">
        <v>16</v>
      </c>
      <c r="E873" s="2" t="s">
        <v>14</v>
      </c>
      <c r="F873" s="6">
        <v>0.0</v>
      </c>
      <c r="G873" s="7">
        <v>0.0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5" t="s">
        <v>7</v>
      </c>
      <c r="B874" s="5" t="s">
        <v>13</v>
      </c>
      <c r="C874" s="2" t="s">
        <v>699</v>
      </c>
      <c r="D874" s="2" t="s">
        <v>32</v>
      </c>
      <c r="E874" s="2" t="s">
        <v>144</v>
      </c>
      <c r="F874" s="6">
        <v>0.0</v>
      </c>
      <c r="G874" s="7">
        <v>0.0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5" t="s">
        <v>7</v>
      </c>
      <c r="B875" s="5" t="s">
        <v>13</v>
      </c>
      <c r="C875" s="2" t="s">
        <v>700</v>
      </c>
      <c r="D875" s="2" t="s">
        <v>32</v>
      </c>
      <c r="E875" s="2" t="s">
        <v>14</v>
      </c>
      <c r="F875" s="6">
        <v>0.0</v>
      </c>
      <c r="G875" s="7">
        <v>0.0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5" t="s">
        <v>12</v>
      </c>
      <c r="B876" s="5" t="s">
        <v>13</v>
      </c>
      <c r="C876" s="2" t="s">
        <v>700</v>
      </c>
      <c r="D876" s="2" t="s">
        <v>32</v>
      </c>
      <c r="E876" s="2" t="s">
        <v>49</v>
      </c>
      <c r="F876" s="6">
        <v>1000000.0</v>
      </c>
      <c r="G876" s="7">
        <v>0.0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5" t="s">
        <v>12</v>
      </c>
      <c r="B877" s="5" t="s">
        <v>13</v>
      </c>
      <c r="C877" s="2" t="s">
        <v>701</v>
      </c>
      <c r="D877" s="2" t="s">
        <v>16</v>
      </c>
      <c r="E877" s="2" t="s">
        <v>14</v>
      </c>
      <c r="F877" s="6">
        <v>0.0</v>
      </c>
      <c r="G877" s="7">
        <v>0.0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5" t="s">
        <v>7</v>
      </c>
      <c r="B878" s="5" t="s">
        <v>13</v>
      </c>
      <c r="C878" s="2" t="s">
        <v>702</v>
      </c>
      <c r="D878" s="2" t="s">
        <v>19</v>
      </c>
      <c r="E878" s="2" t="s">
        <v>23</v>
      </c>
      <c r="F878" s="6">
        <v>2400000.0</v>
      </c>
      <c r="G878" s="7">
        <v>0.0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5" t="s">
        <v>12</v>
      </c>
      <c r="B879" s="5" t="s">
        <v>13</v>
      </c>
      <c r="C879" s="2" t="s">
        <v>702</v>
      </c>
      <c r="D879" s="2" t="s">
        <v>19</v>
      </c>
      <c r="E879" s="2" t="s">
        <v>17</v>
      </c>
      <c r="F879" s="6">
        <v>2400000.0</v>
      </c>
      <c r="G879" s="7">
        <v>425164.0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5" t="s">
        <v>12</v>
      </c>
      <c r="B880" s="5" t="s">
        <v>13</v>
      </c>
      <c r="C880" s="2" t="s">
        <v>703</v>
      </c>
      <c r="D880" s="2" t="s">
        <v>19</v>
      </c>
      <c r="E880" s="2" t="s">
        <v>14</v>
      </c>
      <c r="F880" s="6">
        <v>0.0</v>
      </c>
      <c r="G880" s="7">
        <v>0.0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5" t="s">
        <v>12</v>
      </c>
      <c r="B881" s="5" t="s">
        <v>13</v>
      </c>
      <c r="C881" s="2" t="s">
        <v>704</v>
      </c>
      <c r="D881" s="2" t="s">
        <v>16</v>
      </c>
      <c r="E881" s="2" t="s">
        <v>49</v>
      </c>
      <c r="F881" s="6">
        <v>414000.0</v>
      </c>
      <c r="G881" s="7">
        <v>0.0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5" t="s">
        <v>12</v>
      </c>
      <c r="B882" s="5" t="s">
        <v>13</v>
      </c>
      <c r="C882" s="2" t="s">
        <v>705</v>
      </c>
      <c r="D882" s="2" t="s">
        <v>16</v>
      </c>
      <c r="E882" s="2" t="s">
        <v>14</v>
      </c>
      <c r="F882" s="6">
        <v>0.0</v>
      </c>
      <c r="G882" s="7">
        <v>0.0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5" t="s">
        <v>12</v>
      </c>
      <c r="B883" s="5" t="s">
        <v>8</v>
      </c>
      <c r="C883" s="2" t="s">
        <v>706</v>
      </c>
      <c r="D883" s="2" t="s">
        <v>10</v>
      </c>
      <c r="E883" s="2" t="s">
        <v>49</v>
      </c>
      <c r="F883" s="6">
        <v>75000.0</v>
      </c>
      <c r="G883" s="7">
        <v>70800.0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5" t="s">
        <v>12</v>
      </c>
      <c r="B884" s="5" t="s">
        <v>13</v>
      </c>
      <c r="C884" s="2" t="s">
        <v>707</v>
      </c>
      <c r="D884" s="2" t="s">
        <v>16</v>
      </c>
      <c r="E884" s="2" t="s">
        <v>14</v>
      </c>
      <c r="F884" s="6">
        <v>0.0</v>
      </c>
      <c r="G884" s="7">
        <v>0.0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5" t="s">
        <v>12</v>
      </c>
      <c r="B885" s="5" t="s">
        <v>8</v>
      </c>
      <c r="C885" s="2" t="s">
        <v>708</v>
      </c>
      <c r="D885" s="2" t="s">
        <v>16</v>
      </c>
      <c r="E885" s="2" t="s">
        <v>55</v>
      </c>
      <c r="F885" s="6">
        <v>116000.0</v>
      </c>
      <c r="G885" s="7">
        <v>123900.0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5" t="s">
        <v>12</v>
      </c>
      <c r="B886" s="5" t="s">
        <v>13</v>
      </c>
      <c r="C886" s="2" t="s">
        <v>708</v>
      </c>
      <c r="D886" s="2" t="s">
        <v>16</v>
      </c>
      <c r="E886" s="2" t="s">
        <v>14</v>
      </c>
      <c r="F886" s="6">
        <v>261000.0</v>
      </c>
      <c r="G886" s="7">
        <v>0.0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5" t="s">
        <v>7</v>
      </c>
      <c r="B887" s="5" t="s">
        <v>13</v>
      </c>
      <c r="C887" s="2" t="s">
        <v>709</v>
      </c>
      <c r="D887" s="2" t="s">
        <v>16</v>
      </c>
      <c r="E887" s="2" t="s">
        <v>49</v>
      </c>
      <c r="F887" s="6">
        <v>0.0</v>
      </c>
      <c r="G887" s="7">
        <v>0.0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5" t="s">
        <v>12</v>
      </c>
      <c r="B888" s="5" t="s">
        <v>13</v>
      </c>
      <c r="C888" s="2" t="s">
        <v>709</v>
      </c>
      <c r="D888" s="2" t="s">
        <v>16</v>
      </c>
      <c r="E888" s="2" t="s">
        <v>49</v>
      </c>
      <c r="F888" s="6">
        <v>250000.0</v>
      </c>
      <c r="G888" s="7">
        <v>138718.0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5" t="s">
        <v>12</v>
      </c>
      <c r="B889" s="5" t="s">
        <v>13</v>
      </c>
      <c r="C889" s="2" t="s">
        <v>710</v>
      </c>
      <c r="D889" s="2" t="s">
        <v>16</v>
      </c>
      <c r="E889" s="2" t="s">
        <v>14</v>
      </c>
      <c r="F889" s="6">
        <v>0.0</v>
      </c>
      <c r="G889" s="7">
        <v>0.0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5" t="s">
        <v>12</v>
      </c>
      <c r="B890" s="5" t="s">
        <v>13</v>
      </c>
      <c r="C890" s="2" t="s">
        <v>711</v>
      </c>
      <c r="D890" s="2" t="s">
        <v>16</v>
      </c>
      <c r="E890" s="2" t="s">
        <v>11</v>
      </c>
      <c r="F890" s="6">
        <v>16000.0</v>
      </c>
      <c r="G890" s="7">
        <v>0.0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5" t="s">
        <v>12</v>
      </c>
      <c r="B891" s="5" t="s">
        <v>13</v>
      </c>
      <c r="C891" s="2" t="s">
        <v>712</v>
      </c>
      <c r="D891" s="2" t="s">
        <v>16</v>
      </c>
      <c r="E891" s="2" t="s">
        <v>14</v>
      </c>
      <c r="F891" s="6">
        <v>0.0</v>
      </c>
      <c r="G891" s="7">
        <v>0.0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5" t="s">
        <v>7</v>
      </c>
      <c r="B892" s="5" t="s">
        <v>13</v>
      </c>
      <c r="C892" s="2" t="s">
        <v>713</v>
      </c>
      <c r="D892" s="2" t="s">
        <v>32</v>
      </c>
      <c r="E892" s="2" t="s">
        <v>23</v>
      </c>
      <c r="F892" s="6">
        <v>2800000.0</v>
      </c>
      <c r="G892" s="7">
        <v>0.0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5" t="s">
        <v>12</v>
      </c>
      <c r="B893" s="5" t="s">
        <v>13</v>
      </c>
      <c r="C893" s="2" t="s">
        <v>713</v>
      </c>
      <c r="D893" s="2" t="s">
        <v>32</v>
      </c>
      <c r="E893" s="2" t="s">
        <v>17</v>
      </c>
      <c r="F893" s="6">
        <v>2800000.0</v>
      </c>
      <c r="G893" s="7">
        <v>1821000.0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5" t="s">
        <v>7</v>
      </c>
      <c r="B894" s="5" t="s">
        <v>13</v>
      </c>
      <c r="C894" s="2" t="s">
        <v>714</v>
      </c>
      <c r="D894" s="2" t="s">
        <v>32</v>
      </c>
      <c r="E894" s="2" t="s">
        <v>49</v>
      </c>
      <c r="F894" s="6">
        <v>0.0</v>
      </c>
      <c r="G894" s="7">
        <v>0.0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5" t="s">
        <v>12</v>
      </c>
      <c r="B895" s="5" t="s">
        <v>13</v>
      </c>
      <c r="C895" s="2" t="s">
        <v>714</v>
      </c>
      <c r="D895" s="2" t="s">
        <v>32</v>
      </c>
      <c r="E895" s="2" t="s">
        <v>49</v>
      </c>
      <c r="F895" s="6">
        <v>2500000.0</v>
      </c>
      <c r="G895" s="7">
        <v>0.0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5" t="s">
        <v>12</v>
      </c>
      <c r="B896" s="5" t="s">
        <v>13</v>
      </c>
      <c r="C896" s="2" t="s">
        <v>715</v>
      </c>
      <c r="D896" s="2" t="s">
        <v>32</v>
      </c>
      <c r="E896" s="2" t="s">
        <v>14</v>
      </c>
      <c r="F896" s="6">
        <v>0.0</v>
      </c>
      <c r="G896" s="7">
        <v>0.0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5" t="s">
        <v>7</v>
      </c>
      <c r="B897" s="5" t="s">
        <v>13</v>
      </c>
      <c r="C897" s="2" t="s">
        <v>716</v>
      </c>
      <c r="D897" s="2" t="s">
        <v>88</v>
      </c>
      <c r="E897" s="2" t="s">
        <v>23</v>
      </c>
      <c r="F897" s="6">
        <v>3160000.0</v>
      </c>
      <c r="G897" s="7">
        <v>0.0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5" t="s">
        <v>12</v>
      </c>
      <c r="B898" s="5" t="s">
        <v>13</v>
      </c>
      <c r="C898" s="2" t="s">
        <v>716</v>
      </c>
      <c r="D898" s="2" t="s">
        <v>88</v>
      </c>
      <c r="E898" s="2" t="s">
        <v>17</v>
      </c>
      <c r="F898" s="6">
        <v>3160000.0</v>
      </c>
      <c r="G898" s="7">
        <v>292155.0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5" t="s">
        <v>12</v>
      </c>
      <c r="B899" s="5" t="s">
        <v>13</v>
      </c>
      <c r="C899" s="2" t="s">
        <v>717</v>
      </c>
      <c r="D899" s="2" t="s">
        <v>16</v>
      </c>
      <c r="E899" s="2" t="s">
        <v>14</v>
      </c>
      <c r="F899" s="6">
        <v>0.0</v>
      </c>
      <c r="G899" s="7">
        <v>-5100.0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5" t="s">
        <v>12</v>
      </c>
      <c r="B900" s="5" t="s">
        <v>13</v>
      </c>
      <c r="C900" s="2" t="s">
        <v>718</v>
      </c>
      <c r="D900" s="2" t="s">
        <v>16</v>
      </c>
      <c r="E900" s="2" t="s">
        <v>14</v>
      </c>
      <c r="F900" s="6">
        <v>0.0</v>
      </c>
      <c r="G900" s="7">
        <v>0.0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5" t="s">
        <v>7</v>
      </c>
      <c r="B901" s="5" t="s">
        <v>8</v>
      </c>
      <c r="C901" s="2" t="s">
        <v>719</v>
      </c>
      <c r="D901" s="2" t="s">
        <v>10</v>
      </c>
      <c r="E901" s="2" t="s">
        <v>49</v>
      </c>
      <c r="F901" s="6">
        <v>250000.0</v>
      </c>
      <c r="G901" s="7">
        <v>0.0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5" t="s">
        <v>7</v>
      </c>
      <c r="B902" s="5" t="s">
        <v>13</v>
      </c>
      <c r="C902" s="2" t="s">
        <v>719</v>
      </c>
      <c r="D902" s="2" t="s">
        <v>10</v>
      </c>
      <c r="E902" s="2" t="s">
        <v>14</v>
      </c>
      <c r="F902" s="6">
        <v>0.0</v>
      </c>
      <c r="G902" s="7">
        <v>0.0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5" t="s">
        <v>12</v>
      </c>
      <c r="B903" s="5" t="s">
        <v>13</v>
      </c>
      <c r="C903" s="2" t="s">
        <v>719</v>
      </c>
      <c r="D903" s="2" t="s">
        <v>10</v>
      </c>
      <c r="E903" s="2" t="s">
        <v>14</v>
      </c>
      <c r="F903" s="6">
        <v>0.0</v>
      </c>
      <c r="G903" s="7">
        <v>0.0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5" t="s">
        <v>12</v>
      </c>
      <c r="B904" s="5" t="s">
        <v>8</v>
      </c>
      <c r="C904" s="2" t="s">
        <v>719</v>
      </c>
      <c r="D904" s="2" t="s">
        <v>10</v>
      </c>
      <c r="E904" s="2" t="s">
        <v>49</v>
      </c>
      <c r="F904" s="6">
        <v>500000.0</v>
      </c>
      <c r="G904" s="7">
        <v>0.0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5" t="s">
        <v>12</v>
      </c>
      <c r="B905" s="5" t="s">
        <v>13</v>
      </c>
      <c r="C905" s="2" t="s">
        <v>720</v>
      </c>
      <c r="D905" s="2" t="s">
        <v>16</v>
      </c>
      <c r="E905" s="2" t="s">
        <v>49</v>
      </c>
      <c r="F905" s="6">
        <v>100.0</v>
      </c>
      <c r="G905" s="7">
        <v>86883.0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5" t="s">
        <v>12</v>
      </c>
      <c r="B906" s="5" t="s">
        <v>13</v>
      </c>
      <c r="C906" s="2" t="s">
        <v>721</v>
      </c>
      <c r="D906" s="2" t="s">
        <v>16</v>
      </c>
      <c r="E906" s="2" t="s">
        <v>14</v>
      </c>
      <c r="F906" s="6">
        <v>100000.0</v>
      </c>
      <c r="G906" s="7">
        <v>0.0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5" t="s">
        <v>12</v>
      </c>
      <c r="B907" s="5" t="s">
        <v>13</v>
      </c>
      <c r="C907" s="2" t="s">
        <v>722</v>
      </c>
      <c r="D907" s="2" t="s">
        <v>16</v>
      </c>
      <c r="E907" s="2" t="s">
        <v>14</v>
      </c>
      <c r="F907" s="6">
        <v>0.0</v>
      </c>
      <c r="G907" s="7">
        <v>0.0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5" t="s">
        <v>12</v>
      </c>
      <c r="B908" s="5" t="s">
        <v>8</v>
      </c>
      <c r="C908" s="2" t="s">
        <v>723</v>
      </c>
      <c r="D908" s="2" t="s">
        <v>48</v>
      </c>
      <c r="E908" s="2" t="s">
        <v>49</v>
      </c>
      <c r="F908" s="6">
        <v>290647.0</v>
      </c>
      <c r="G908" s="7">
        <v>835440.0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5" t="s">
        <v>12</v>
      </c>
      <c r="B909" s="5" t="s">
        <v>13</v>
      </c>
      <c r="C909" s="2" t="s">
        <v>724</v>
      </c>
      <c r="D909" s="2" t="s">
        <v>16</v>
      </c>
      <c r="E909" s="2" t="s">
        <v>14</v>
      </c>
      <c r="F909" s="6">
        <v>291000.0</v>
      </c>
      <c r="G909" s="7">
        <v>500000.0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5" t="s">
        <v>7</v>
      </c>
      <c r="B910" s="5" t="s">
        <v>13</v>
      </c>
      <c r="C910" s="2" t="s">
        <v>725</v>
      </c>
      <c r="D910" s="2" t="s">
        <v>16</v>
      </c>
      <c r="E910" s="2" t="s">
        <v>144</v>
      </c>
      <c r="F910" s="6">
        <v>141000.0</v>
      </c>
      <c r="G910" s="7">
        <v>0.0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5" t="s">
        <v>12</v>
      </c>
      <c r="B911" s="5" t="s">
        <v>13</v>
      </c>
      <c r="C911" s="2" t="s">
        <v>725</v>
      </c>
      <c r="D911" s="2" t="s">
        <v>16</v>
      </c>
      <c r="E911" s="2" t="s">
        <v>49</v>
      </c>
      <c r="F911" s="6">
        <v>141000.0</v>
      </c>
      <c r="G911" s="7">
        <v>225334.0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5" t="s">
        <v>12</v>
      </c>
      <c r="B912" s="5" t="s">
        <v>13</v>
      </c>
      <c r="C912" s="2" t="s">
        <v>726</v>
      </c>
      <c r="D912" s="2" t="s">
        <v>16</v>
      </c>
      <c r="E912" s="2" t="s">
        <v>14</v>
      </c>
      <c r="F912" s="6">
        <v>0.0</v>
      </c>
      <c r="G912" s="7">
        <v>275000.0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5" t="s">
        <v>12</v>
      </c>
      <c r="B913" s="5" t="s">
        <v>13</v>
      </c>
      <c r="C913" s="2" t="s">
        <v>727</v>
      </c>
      <c r="D913" s="2" t="s">
        <v>16</v>
      </c>
      <c r="E913" s="2" t="s">
        <v>14</v>
      </c>
      <c r="F913" s="6">
        <v>0.0</v>
      </c>
      <c r="G913" s="7">
        <v>0.0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5" t="s">
        <v>12</v>
      </c>
      <c r="B914" s="5" t="s">
        <v>13</v>
      </c>
      <c r="C914" s="2" t="s">
        <v>728</v>
      </c>
      <c r="D914" s="2" t="s">
        <v>16</v>
      </c>
      <c r="E914" s="2" t="s">
        <v>14</v>
      </c>
      <c r="F914" s="6">
        <v>0.0</v>
      </c>
      <c r="G914" s="7">
        <v>0.0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5" t="s">
        <v>12</v>
      </c>
      <c r="B915" s="5" t="s">
        <v>13</v>
      </c>
      <c r="C915" s="2" t="s">
        <v>729</v>
      </c>
      <c r="D915" s="2" t="s">
        <v>16</v>
      </c>
      <c r="E915" s="2" t="s">
        <v>730</v>
      </c>
      <c r="F915" s="6">
        <v>0.0</v>
      </c>
      <c r="G915" s="7">
        <v>0.0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5" t="s">
        <v>12</v>
      </c>
      <c r="B916" s="5" t="s">
        <v>13</v>
      </c>
      <c r="C916" s="2" t="s">
        <v>731</v>
      </c>
      <c r="D916" s="2" t="s">
        <v>16</v>
      </c>
      <c r="E916" s="2" t="s">
        <v>14</v>
      </c>
      <c r="F916" s="6">
        <v>322000.0</v>
      </c>
      <c r="G916" s="7">
        <v>0.0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5" t="s">
        <v>7</v>
      </c>
      <c r="B917" s="5" t="s">
        <v>13</v>
      </c>
      <c r="C917" s="2" t="s">
        <v>732</v>
      </c>
      <c r="D917" s="2" t="s">
        <v>88</v>
      </c>
      <c r="E917" s="2" t="s">
        <v>17</v>
      </c>
      <c r="F917" s="6">
        <v>700000.0</v>
      </c>
      <c r="G917" s="7">
        <v>0.0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5" t="s">
        <v>12</v>
      </c>
      <c r="B918" s="5" t="s">
        <v>13</v>
      </c>
      <c r="C918" s="2" t="s">
        <v>732</v>
      </c>
      <c r="D918" s="2" t="s">
        <v>88</v>
      </c>
      <c r="E918" s="2" t="s">
        <v>17</v>
      </c>
      <c r="F918" s="6">
        <v>1530000.0</v>
      </c>
      <c r="G918" s="7">
        <v>0.0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5" t="s">
        <v>7</v>
      </c>
      <c r="B919" s="5" t="s">
        <v>13</v>
      </c>
      <c r="C919" s="2" t="s">
        <v>733</v>
      </c>
      <c r="D919" s="2" t="s">
        <v>88</v>
      </c>
      <c r="E919" s="2" t="s">
        <v>23</v>
      </c>
      <c r="F919" s="6">
        <v>2500000.0</v>
      </c>
      <c r="G919" s="7">
        <v>0.0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5" t="s">
        <v>12</v>
      </c>
      <c r="B920" s="5" t="s">
        <v>13</v>
      </c>
      <c r="C920" s="2" t="s">
        <v>733</v>
      </c>
      <c r="D920" s="2" t="s">
        <v>88</v>
      </c>
      <c r="E920" s="2" t="s">
        <v>17</v>
      </c>
      <c r="F920" s="6">
        <v>2500000.0</v>
      </c>
      <c r="G920" s="7">
        <v>0.0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5" t="s">
        <v>12</v>
      </c>
      <c r="B921" s="5" t="s">
        <v>13</v>
      </c>
      <c r="C921" s="2" t="s">
        <v>734</v>
      </c>
      <c r="D921" s="2" t="s">
        <v>88</v>
      </c>
      <c r="E921" s="2" t="s">
        <v>14</v>
      </c>
      <c r="F921" s="6">
        <v>0.0</v>
      </c>
      <c r="G921" s="7">
        <v>0.0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5" t="s">
        <v>7</v>
      </c>
      <c r="B922" s="5" t="s">
        <v>13</v>
      </c>
      <c r="C922" s="2" t="s">
        <v>735</v>
      </c>
      <c r="D922" s="2" t="s">
        <v>88</v>
      </c>
      <c r="E922" s="2" t="s">
        <v>17</v>
      </c>
      <c r="F922" s="6">
        <v>1800000.0</v>
      </c>
      <c r="G922" s="7">
        <v>0.0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5" t="s">
        <v>12</v>
      </c>
      <c r="B923" s="5" t="s">
        <v>13</v>
      </c>
      <c r="C923" s="2" t="s">
        <v>735</v>
      </c>
      <c r="D923" s="2" t="s">
        <v>88</v>
      </c>
      <c r="E923" s="2" t="s">
        <v>17</v>
      </c>
      <c r="F923" s="6">
        <v>3350000.0</v>
      </c>
      <c r="G923" s="7">
        <v>2087615.0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5" t="s">
        <v>12</v>
      </c>
      <c r="B924" s="5" t="s">
        <v>13</v>
      </c>
      <c r="C924" s="2" t="s">
        <v>736</v>
      </c>
      <c r="D924" s="2" t="s">
        <v>88</v>
      </c>
      <c r="E924" s="2" t="s">
        <v>14</v>
      </c>
      <c r="F924" s="6">
        <v>0.0</v>
      </c>
      <c r="G924" s="7">
        <v>0.0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5" t="s">
        <v>12</v>
      </c>
      <c r="B925" s="5" t="s">
        <v>13</v>
      </c>
      <c r="C925" s="2" t="s">
        <v>737</v>
      </c>
      <c r="D925" s="2" t="s">
        <v>16</v>
      </c>
      <c r="E925" s="2" t="s">
        <v>14</v>
      </c>
      <c r="F925" s="6">
        <v>1160000.0</v>
      </c>
      <c r="G925" s="7">
        <v>0.0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5" t="s">
        <v>7</v>
      </c>
      <c r="B926" s="5" t="s">
        <v>13</v>
      </c>
      <c r="C926" s="2" t="s">
        <v>738</v>
      </c>
      <c r="D926" s="2" t="s">
        <v>19</v>
      </c>
      <c r="E926" s="2" t="s">
        <v>17</v>
      </c>
      <c r="F926" s="6">
        <v>600000.0</v>
      </c>
      <c r="G926" s="7">
        <v>0.0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5" t="s">
        <v>12</v>
      </c>
      <c r="B927" s="5" t="s">
        <v>13</v>
      </c>
      <c r="C927" s="2" t="s">
        <v>738</v>
      </c>
      <c r="D927" s="2" t="s">
        <v>19</v>
      </c>
      <c r="E927" s="2" t="s">
        <v>17</v>
      </c>
      <c r="F927" s="6">
        <v>1200000.0</v>
      </c>
      <c r="G927" s="7">
        <v>0.0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5" t="s">
        <v>12</v>
      </c>
      <c r="B928" s="5" t="s">
        <v>13</v>
      </c>
      <c r="C928" s="2" t="s">
        <v>739</v>
      </c>
      <c r="D928" s="2" t="s">
        <v>16</v>
      </c>
      <c r="E928" s="2" t="s">
        <v>14</v>
      </c>
      <c r="F928" s="6">
        <v>0.0</v>
      </c>
      <c r="G928" s="7">
        <v>0.0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5" t="s">
        <v>12</v>
      </c>
      <c r="B929" s="5" t="s">
        <v>13</v>
      </c>
      <c r="C929" s="2" t="s">
        <v>740</v>
      </c>
      <c r="D929" s="2" t="s">
        <v>16</v>
      </c>
      <c r="E929" s="2" t="s">
        <v>33</v>
      </c>
      <c r="F929" s="6">
        <v>0.0</v>
      </c>
      <c r="G929" s="7">
        <v>0.0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5" t="s">
        <v>12</v>
      </c>
      <c r="B930" s="5" t="s">
        <v>13</v>
      </c>
      <c r="C930" s="2" t="s">
        <v>741</v>
      </c>
      <c r="D930" s="2" t="s">
        <v>16</v>
      </c>
      <c r="E930" s="2" t="s">
        <v>14</v>
      </c>
      <c r="F930" s="6">
        <v>0.0</v>
      </c>
      <c r="G930" s="7">
        <v>0.0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5" t="s">
        <v>12</v>
      </c>
      <c r="B931" s="5" t="s">
        <v>13</v>
      </c>
      <c r="C931" s="2" t="s">
        <v>742</v>
      </c>
      <c r="D931" s="2" t="s">
        <v>16</v>
      </c>
      <c r="E931" s="2" t="s">
        <v>14</v>
      </c>
      <c r="F931" s="6">
        <v>0.0</v>
      </c>
      <c r="G931" s="7">
        <v>0.0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5" t="s">
        <v>12</v>
      </c>
      <c r="B932" s="5" t="s">
        <v>13</v>
      </c>
      <c r="C932" s="2" t="s">
        <v>743</v>
      </c>
      <c r="D932" s="2" t="s">
        <v>16</v>
      </c>
      <c r="E932" s="2" t="s">
        <v>14</v>
      </c>
      <c r="F932" s="6">
        <v>0.0</v>
      </c>
      <c r="G932" s="7">
        <v>0.0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5" t="s">
        <v>12</v>
      </c>
      <c r="B933" s="5" t="s">
        <v>13</v>
      </c>
      <c r="C933" s="2" t="s">
        <v>744</v>
      </c>
      <c r="D933" s="2" t="s">
        <v>745</v>
      </c>
      <c r="E933" s="2" t="s">
        <v>14</v>
      </c>
      <c r="F933" s="6">
        <v>0.0</v>
      </c>
      <c r="G933" s="7">
        <v>4297516.0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5" t="s">
        <v>12</v>
      </c>
      <c r="B934" s="5" t="s">
        <v>13</v>
      </c>
      <c r="C934" s="2" t="s">
        <v>746</v>
      </c>
      <c r="D934" s="2" t="s">
        <v>745</v>
      </c>
      <c r="E934" s="2" t="s">
        <v>14</v>
      </c>
      <c r="F934" s="6">
        <v>0.0</v>
      </c>
      <c r="G934" s="7">
        <v>0.0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5" t="s">
        <v>12</v>
      </c>
      <c r="B935" s="5" t="s">
        <v>13</v>
      </c>
      <c r="C935" s="2" t="s">
        <v>747</v>
      </c>
      <c r="D935" s="2" t="s">
        <v>16</v>
      </c>
      <c r="E935" s="2" t="s">
        <v>14</v>
      </c>
      <c r="F935" s="6">
        <v>0.0</v>
      </c>
      <c r="G935" s="7">
        <v>0.0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5" t="s">
        <v>7</v>
      </c>
      <c r="B936" s="5" t="s">
        <v>13</v>
      </c>
      <c r="C936" s="2" t="s">
        <v>748</v>
      </c>
      <c r="D936" s="2" t="s">
        <v>745</v>
      </c>
      <c r="E936" s="2" t="s">
        <v>14</v>
      </c>
      <c r="F936" s="6">
        <v>0.0</v>
      </c>
      <c r="G936" s="7">
        <v>0.0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5" t="s">
        <v>7</v>
      </c>
      <c r="B937" s="5" t="s">
        <v>13</v>
      </c>
      <c r="C937" s="2" t="s">
        <v>749</v>
      </c>
      <c r="D937" s="2" t="s">
        <v>745</v>
      </c>
      <c r="E937" s="2" t="s">
        <v>14</v>
      </c>
      <c r="F937" s="6">
        <v>0.0</v>
      </c>
      <c r="G937" s="7">
        <v>0.0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5" t="s">
        <v>12</v>
      </c>
      <c r="B938" s="5" t="s">
        <v>13</v>
      </c>
      <c r="C938" s="2" t="s">
        <v>750</v>
      </c>
      <c r="D938" s="2" t="s">
        <v>16</v>
      </c>
      <c r="E938" s="2" t="s">
        <v>14</v>
      </c>
      <c r="F938" s="6">
        <v>0.0</v>
      </c>
      <c r="G938" s="7">
        <v>0.0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5" t="s">
        <v>12</v>
      </c>
      <c r="B939" s="5" t="s">
        <v>13</v>
      </c>
      <c r="C939" s="2" t="s">
        <v>751</v>
      </c>
      <c r="D939" s="2" t="s">
        <v>16</v>
      </c>
      <c r="E939" s="2" t="s">
        <v>14</v>
      </c>
      <c r="F939" s="6">
        <v>0.0</v>
      </c>
      <c r="G939" s="7">
        <v>0.0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5" t="s">
        <v>12</v>
      </c>
      <c r="B940" s="5" t="s">
        <v>13</v>
      </c>
      <c r="C940" s="2" t="s">
        <v>752</v>
      </c>
      <c r="D940" s="2" t="s">
        <v>16</v>
      </c>
      <c r="E940" s="2" t="s">
        <v>14</v>
      </c>
      <c r="F940" s="6">
        <v>0.0</v>
      </c>
      <c r="G940" s="7">
        <v>0.0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5" t="s">
        <v>7</v>
      </c>
      <c r="B941" s="5" t="s">
        <v>13</v>
      </c>
      <c r="C941" s="2" t="s">
        <v>753</v>
      </c>
      <c r="D941" s="2" t="s">
        <v>16</v>
      </c>
      <c r="E941" s="2" t="s">
        <v>14</v>
      </c>
      <c r="F941" s="6">
        <v>0.0</v>
      </c>
      <c r="G941" s="7">
        <v>0.0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5" t="s">
        <v>7</v>
      </c>
      <c r="B942" s="5" t="s">
        <v>13</v>
      </c>
      <c r="C942" s="2" t="s">
        <v>754</v>
      </c>
      <c r="D942" s="2" t="s">
        <v>16</v>
      </c>
      <c r="E942" s="2" t="s">
        <v>14</v>
      </c>
      <c r="F942" s="6">
        <v>0.0</v>
      </c>
      <c r="G942" s="7">
        <v>0.0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5" t="s">
        <v>7</v>
      </c>
      <c r="B943" s="5" t="s">
        <v>8</v>
      </c>
      <c r="C943" s="2" t="s">
        <v>755</v>
      </c>
      <c r="D943" s="2" t="s">
        <v>745</v>
      </c>
      <c r="E943" s="2" t="s">
        <v>14</v>
      </c>
      <c r="F943" s="6">
        <v>0.0</v>
      </c>
      <c r="G943" s="7">
        <v>0.0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5" t="s">
        <v>12</v>
      </c>
      <c r="B944" s="5" t="s">
        <v>13</v>
      </c>
      <c r="C944" s="2" t="s">
        <v>756</v>
      </c>
      <c r="D944" s="2" t="s">
        <v>16</v>
      </c>
      <c r="E944" s="2" t="s">
        <v>14</v>
      </c>
      <c r="F944" s="6">
        <v>0.0</v>
      </c>
      <c r="G944" s="7">
        <v>0.0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5" t="s">
        <v>12</v>
      </c>
      <c r="B945" s="5" t="s">
        <v>8</v>
      </c>
      <c r="C945" s="2" t="s">
        <v>756</v>
      </c>
      <c r="D945" s="2" t="s">
        <v>16</v>
      </c>
      <c r="E945" s="2" t="s">
        <v>14</v>
      </c>
      <c r="F945" s="6">
        <v>0.0</v>
      </c>
      <c r="G945" s="7">
        <v>0.0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5" t="s">
        <v>12</v>
      </c>
      <c r="B946" s="5" t="s">
        <v>13</v>
      </c>
      <c r="C946" s="2" t="s">
        <v>757</v>
      </c>
      <c r="D946" s="2" t="s">
        <v>16</v>
      </c>
      <c r="E946" s="2" t="s">
        <v>33</v>
      </c>
      <c r="F946" s="6">
        <v>0.0</v>
      </c>
      <c r="G946" s="7">
        <v>0.0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5" t="s">
        <v>12</v>
      </c>
      <c r="B947" s="5" t="s">
        <v>13</v>
      </c>
      <c r="C947" s="2" t="s">
        <v>758</v>
      </c>
      <c r="D947" s="2" t="s">
        <v>16</v>
      </c>
      <c r="E947" s="2" t="s">
        <v>14</v>
      </c>
      <c r="F947" s="6">
        <v>0.0</v>
      </c>
      <c r="G947" s="7">
        <v>0.0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5" t="s">
        <v>12</v>
      </c>
      <c r="B948" s="5" t="s">
        <v>8</v>
      </c>
      <c r="C948" s="2" t="s">
        <v>759</v>
      </c>
      <c r="D948" s="2" t="s">
        <v>16</v>
      </c>
      <c r="E948" s="2" t="s">
        <v>14</v>
      </c>
      <c r="F948" s="6">
        <v>0.0</v>
      </c>
      <c r="G948" s="7">
        <v>0.0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5" t="s">
        <v>12</v>
      </c>
      <c r="B949" s="5" t="s">
        <v>13</v>
      </c>
      <c r="C949" s="2" t="s">
        <v>760</v>
      </c>
      <c r="D949" s="2" t="s">
        <v>16</v>
      </c>
      <c r="E949" s="2" t="s">
        <v>14</v>
      </c>
      <c r="F949" s="6">
        <v>0.0</v>
      </c>
      <c r="G949" s="7">
        <v>0.0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5" t="s">
        <v>12</v>
      </c>
      <c r="B950" s="5" t="s">
        <v>13</v>
      </c>
      <c r="C950" s="2" t="s">
        <v>761</v>
      </c>
      <c r="D950" s="2" t="s">
        <v>16</v>
      </c>
      <c r="E950" s="2" t="s">
        <v>14</v>
      </c>
      <c r="F950" s="6">
        <v>0.0</v>
      </c>
      <c r="G950" s="7">
        <v>0.0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5" t="s">
        <v>7</v>
      </c>
      <c r="B951" s="5" t="s">
        <v>13</v>
      </c>
      <c r="C951" s="2" t="s">
        <v>762</v>
      </c>
      <c r="D951" s="2" t="s">
        <v>32</v>
      </c>
      <c r="E951" s="2" t="s">
        <v>763</v>
      </c>
      <c r="F951" s="6">
        <v>750000.0</v>
      </c>
      <c r="G951" s="7">
        <v>0.0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5" t="s">
        <v>12</v>
      </c>
      <c r="B952" s="5" t="s">
        <v>13</v>
      </c>
      <c r="C952" s="2" t="s">
        <v>762</v>
      </c>
      <c r="D952" s="2" t="s">
        <v>32</v>
      </c>
      <c r="E952" s="2" t="s">
        <v>80</v>
      </c>
      <c r="F952" s="6">
        <v>750000.0</v>
      </c>
      <c r="G952" s="7">
        <v>274858.0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5" t="s">
        <v>12</v>
      </c>
      <c r="B953" s="5" t="s">
        <v>13</v>
      </c>
      <c r="C953" s="2" t="s">
        <v>764</v>
      </c>
      <c r="D953" s="2" t="s">
        <v>16</v>
      </c>
      <c r="E953" s="2" t="s">
        <v>80</v>
      </c>
      <c r="F953" s="6">
        <v>0.0</v>
      </c>
      <c r="G953" s="7">
        <v>0.0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5" t="s">
        <v>12</v>
      </c>
      <c r="B954" s="5" t="s">
        <v>13</v>
      </c>
      <c r="C954" s="2" t="s">
        <v>765</v>
      </c>
      <c r="D954" s="2" t="s">
        <v>16</v>
      </c>
      <c r="E954" s="2" t="s">
        <v>14</v>
      </c>
      <c r="F954" s="6">
        <v>0.0</v>
      </c>
      <c r="G954" s="7">
        <v>0.0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5" t="s">
        <v>7</v>
      </c>
      <c r="B955" s="5" t="s">
        <v>13</v>
      </c>
      <c r="C955" s="2" t="s">
        <v>766</v>
      </c>
      <c r="D955" s="2" t="s">
        <v>83</v>
      </c>
      <c r="E955" s="2" t="s">
        <v>173</v>
      </c>
      <c r="F955" s="6">
        <v>2330000.0</v>
      </c>
      <c r="G955" s="7">
        <v>0.0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5" t="s">
        <v>12</v>
      </c>
      <c r="B956" s="5" t="s">
        <v>13</v>
      </c>
      <c r="C956" s="2" t="s">
        <v>766</v>
      </c>
      <c r="D956" s="2" t="s">
        <v>83</v>
      </c>
      <c r="E956" s="2" t="s">
        <v>33</v>
      </c>
      <c r="F956" s="6">
        <v>2330000.0</v>
      </c>
      <c r="G956" s="7">
        <v>2305261.0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5" t="s">
        <v>12</v>
      </c>
      <c r="B957" s="5" t="s">
        <v>13</v>
      </c>
      <c r="C957" s="2" t="s">
        <v>767</v>
      </c>
      <c r="D957" s="2" t="s">
        <v>83</v>
      </c>
      <c r="E957" s="2" t="s">
        <v>14</v>
      </c>
      <c r="F957" s="6">
        <v>0.0</v>
      </c>
      <c r="G957" s="7">
        <v>1527000.0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5" t="s">
        <v>7</v>
      </c>
      <c r="B958" s="5" t="s">
        <v>13</v>
      </c>
      <c r="C958" s="2" t="s">
        <v>768</v>
      </c>
      <c r="D958" s="2" t="s">
        <v>32</v>
      </c>
      <c r="E958" s="2" t="s">
        <v>17</v>
      </c>
      <c r="F958" s="6">
        <v>0.0</v>
      </c>
      <c r="G958" s="7">
        <v>0.0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5" t="s">
        <v>12</v>
      </c>
      <c r="B959" s="5" t="s">
        <v>13</v>
      </c>
      <c r="C959" s="2" t="s">
        <v>768</v>
      </c>
      <c r="D959" s="2" t="s">
        <v>32</v>
      </c>
      <c r="E959" s="2" t="s">
        <v>17</v>
      </c>
      <c r="F959" s="6">
        <v>4250000.0</v>
      </c>
      <c r="G959" s="7">
        <v>4445273.0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5" t="s">
        <v>12</v>
      </c>
      <c r="B960" s="5" t="s">
        <v>13</v>
      </c>
      <c r="C960" s="2" t="s">
        <v>769</v>
      </c>
      <c r="D960" s="2" t="s">
        <v>16</v>
      </c>
      <c r="E960" s="2" t="s">
        <v>14</v>
      </c>
      <c r="F960" s="6">
        <v>0.0</v>
      </c>
      <c r="G960" s="7">
        <v>0.0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5" t="s">
        <v>12</v>
      </c>
      <c r="B961" s="5" t="s">
        <v>13</v>
      </c>
      <c r="C961" s="2" t="s">
        <v>770</v>
      </c>
      <c r="D961" s="2" t="s">
        <v>16</v>
      </c>
      <c r="E961" s="2" t="s">
        <v>14</v>
      </c>
      <c r="F961" s="6">
        <v>0.0</v>
      </c>
      <c r="G961" s="7">
        <v>0.0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5" t="s">
        <v>12</v>
      </c>
      <c r="B962" s="5" t="s">
        <v>13</v>
      </c>
      <c r="C962" s="2" t="s">
        <v>771</v>
      </c>
      <c r="D962" s="2" t="s">
        <v>16</v>
      </c>
      <c r="E962" s="2" t="s">
        <v>14</v>
      </c>
      <c r="F962" s="6">
        <v>0.0</v>
      </c>
      <c r="G962" s="7">
        <v>0.0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5" t="s">
        <v>12</v>
      </c>
      <c r="B963" s="5" t="s">
        <v>13</v>
      </c>
      <c r="C963" s="2" t="s">
        <v>772</v>
      </c>
      <c r="D963" s="2" t="s">
        <v>16</v>
      </c>
      <c r="E963" s="2" t="s">
        <v>14</v>
      </c>
      <c r="F963" s="6">
        <v>0.0</v>
      </c>
      <c r="G963" s="7">
        <v>0.0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5" t="s">
        <v>12</v>
      </c>
      <c r="B964" s="5" t="s">
        <v>13</v>
      </c>
      <c r="C964" s="2" t="s">
        <v>773</v>
      </c>
      <c r="D964" s="2" t="s">
        <v>16</v>
      </c>
      <c r="E964" s="2" t="s">
        <v>14</v>
      </c>
      <c r="F964" s="6">
        <v>0.0</v>
      </c>
      <c r="G964" s="7">
        <v>0.0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5" t="s">
        <v>7</v>
      </c>
      <c r="B965" s="5" t="s">
        <v>8</v>
      </c>
      <c r="C965" s="2" t="s">
        <v>774</v>
      </c>
      <c r="D965" s="2" t="s">
        <v>16</v>
      </c>
      <c r="E965" s="2" t="s">
        <v>14</v>
      </c>
      <c r="F965" s="6">
        <v>0.0</v>
      </c>
      <c r="G965" s="7">
        <v>0.0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5" t="s">
        <v>7</v>
      </c>
      <c r="B966" s="5" t="s">
        <v>13</v>
      </c>
      <c r="C966" s="2" t="s">
        <v>774</v>
      </c>
      <c r="D966" s="2" t="s">
        <v>16</v>
      </c>
      <c r="E966" s="2" t="s">
        <v>49</v>
      </c>
      <c r="F966" s="6">
        <v>300000.0</v>
      </c>
      <c r="G966" s="7">
        <v>0.0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5" t="s">
        <v>12</v>
      </c>
      <c r="B967" s="5" t="s">
        <v>13</v>
      </c>
      <c r="C967" s="2" t="s">
        <v>774</v>
      </c>
      <c r="D967" s="2" t="s">
        <v>16</v>
      </c>
      <c r="E967" s="2" t="s">
        <v>14</v>
      </c>
      <c r="F967" s="6">
        <v>0.0</v>
      </c>
      <c r="G967" s="7">
        <v>0.0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5" t="s">
        <v>12</v>
      </c>
      <c r="B968" s="5" t="s">
        <v>8</v>
      </c>
      <c r="C968" s="2" t="s">
        <v>774</v>
      </c>
      <c r="D968" s="2" t="s">
        <v>16</v>
      </c>
      <c r="E968" s="2" t="s">
        <v>14</v>
      </c>
      <c r="F968" s="6">
        <v>0.0</v>
      </c>
      <c r="G968" s="7">
        <v>0.0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5" t="s">
        <v>12</v>
      </c>
      <c r="B969" s="5" t="s">
        <v>13</v>
      </c>
      <c r="C969" s="2" t="s">
        <v>775</v>
      </c>
      <c r="D969" s="2" t="s">
        <v>16</v>
      </c>
      <c r="E969" s="2" t="s">
        <v>14</v>
      </c>
      <c r="F969" s="6">
        <v>0.0</v>
      </c>
      <c r="G969" s="7">
        <v>0.0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5" t="s">
        <v>12</v>
      </c>
      <c r="B970" s="5" t="s">
        <v>13</v>
      </c>
      <c r="C970" s="2" t="s">
        <v>776</v>
      </c>
      <c r="D970" s="2" t="s">
        <v>16</v>
      </c>
      <c r="E970" s="2" t="s">
        <v>17</v>
      </c>
      <c r="F970" s="6">
        <v>0.0</v>
      </c>
      <c r="G970" s="7">
        <v>0.0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5" t="s">
        <v>7</v>
      </c>
      <c r="B971" s="5" t="s">
        <v>13</v>
      </c>
      <c r="C971" s="2" t="s">
        <v>777</v>
      </c>
      <c r="D971" s="2" t="s">
        <v>83</v>
      </c>
      <c r="E971" s="2" t="s">
        <v>23</v>
      </c>
      <c r="F971" s="6">
        <v>3050000.0</v>
      </c>
      <c r="G971" s="7">
        <v>0.0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5" t="s">
        <v>12</v>
      </c>
      <c r="B972" s="5" t="s">
        <v>13</v>
      </c>
      <c r="C972" s="2" t="s">
        <v>777</v>
      </c>
      <c r="D972" s="2" t="s">
        <v>83</v>
      </c>
      <c r="E972" s="2" t="s">
        <v>17</v>
      </c>
      <c r="F972" s="6">
        <v>3050000.0</v>
      </c>
      <c r="G972" s="7">
        <v>3816143.0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5" t="s">
        <v>12</v>
      </c>
      <c r="B973" s="5" t="s">
        <v>13</v>
      </c>
      <c r="C973" s="2" t="s">
        <v>778</v>
      </c>
      <c r="D973" s="2" t="s">
        <v>16</v>
      </c>
      <c r="E973" s="2" t="s">
        <v>14</v>
      </c>
      <c r="F973" s="6">
        <v>0.0</v>
      </c>
      <c r="G973" s="7">
        <v>0.0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5" t="s">
        <v>12</v>
      </c>
      <c r="B974" s="5" t="s">
        <v>13</v>
      </c>
      <c r="C974" s="2" t="s">
        <v>779</v>
      </c>
      <c r="D974" s="2" t="s">
        <v>16</v>
      </c>
      <c r="E974" s="2" t="s">
        <v>14</v>
      </c>
      <c r="F974" s="6">
        <v>0.0</v>
      </c>
      <c r="G974" s="7">
        <v>0.0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5" t="s">
        <v>12</v>
      </c>
      <c r="B975" s="5" t="s">
        <v>13</v>
      </c>
      <c r="C975" s="2" t="s">
        <v>780</v>
      </c>
      <c r="D975" s="2" t="s">
        <v>16</v>
      </c>
      <c r="E975" s="2" t="s">
        <v>14</v>
      </c>
      <c r="F975" s="6">
        <v>0.0</v>
      </c>
      <c r="G975" s="7">
        <v>0.0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5" t="s">
        <v>12</v>
      </c>
      <c r="B976" s="5" t="s">
        <v>13</v>
      </c>
      <c r="C976" s="2" t="s">
        <v>781</v>
      </c>
      <c r="D976" s="2" t="s">
        <v>16</v>
      </c>
      <c r="E976" s="2" t="s">
        <v>14</v>
      </c>
      <c r="F976" s="6">
        <v>0.0</v>
      </c>
      <c r="G976" s="7">
        <v>0.0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5" t="s">
        <v>12</v>
      </c>
      <c r="B977" s="5" t="s">
        <v>8</v>
      </c>
      <c r="C977" s="2" t="s">
        <v>782</v>
      </c>
      <c r="D977" s="2" t="s">
        <v>10</v>
      </c>
      <c r="E977" s="2" t="s">
        <v>49</v>
      </c>
      <c r="F977" s="6">
        <v>150000.0</v>
      </c>
      <c r="G977" s="7">
        <v>82330.0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5" t="s">
        <v>12</v>
      </c>
      <c r="B978" s="5" t="s">
        <v>13</v>
      </c>
      <c r="C978" s="2" t="s">
        <v>782</v>
      </c>
      <c r="D978" s="2" t="s">
        <v>10</v>
      </c>
      <c r="E978" s="2" t="s">
        <v>783</v>
      </c>
      <c r="F978" s="6">
        <v>400000.0</v>
      </c>
      <c r="G978" s="7">
        <v>0.0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5" t="s">
        <v>12</v>
      </c>
      <c r="B979" s="5" t="s">
        <v>13</v>
      </c>
      <c r="C979" s="2" t="s">
        <v>784</v>
      </c>
      <c r="D979" s="2" t="s">
        <v>16</v>
      </c>
      <c r="E979" s="2" t="s">
        <v>14</v>
      </c>
      <c r="F979" s="6">
        <v>0.0</v>
      </c>
      <c r="G979" s="7">
        <v>0.0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5" t="s">
        <v>7</v>
      </c>
      <c r="B980" s="5" t="s">
        <v>13</v>
      </c>
      <c r="C980" s="2" t="s">
        <v>785</v>
      </c>
      <c r="D980" s="2" t="s">
        <v>83</v>
      </c>
      <c r="E980" s="2" t="s">
        <v>23</v>
      </c>
      <c r="F980" s="6">
        <v>1.0E7</v>
      </c>
      <c r="G980" s="7">
        <v>0.0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5" t="s">
        <v>12</v>
      </c>
      <c r="B981" s="5" t="s">
        <v>13</v>
      </c>
      <c r="C981" s="2" t="s">
        <v>785</v>
      </c>
      <c r="D981" s="2" t="s">
        <v>83</v>
      </c>
      <c r="E981" s="2" t="s">
        <v>17</v>
      </c>
      <c r="F981" s="6">
        <v>1.0E7</v>
      </c>
      <c r="G981" s="7">
        <v>1974384.0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5" t="s">
        <v>12</v>
      </c>
      <c r="B982" s="5" t="s">
        <v>8</v>
      </c>
      <c r="C982" s="2" t="s">
        <v>785</v>
      </c>
      <c r="D982" s="2" t="s">
        <v>83</v>
      </c>
      <c r="E982" s="2" t="s">
        <v>14</v>
      </c>
      <c r="F982" s="6">
        <v>0.0</v>
      </c>
      <c r="G982" s="7">
        <v>200.0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5" t="s">
        <v>12</v>
      </c>
      <c r="B983" s="5" t="s">
        <v>13</v>
      </c>
      <c r="C983" s="2" t="s">
        <v>786</v>
      </c>
      <c r="D983" s="2" t="s">
        <v>83</v>
      </c>
      <c r="E983" s="2" t="s">
        <v>14</v>
      </c>
      <c r="F983" s="6">
        <v>0.0</v>
      </c>
      <c r="G983" s="7">
        <v>3000000.0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5" t="s">
        <v>7</v>
      </c>
      <c r="B984" s="5" t="s">
        <v>13</v>
      </c>
      <c r="C984" s="2" t="s">
        <v>787</v>
      </c>
      <c r="D984" s="2" t="s">
        <v>83</v>
      </c>
      <c r="E984" s="2" t="s">
        <v>23</v>
      </c>
      <c r="F984" s="6">
        <v>1.0E7</v>
      </c>
      <c r="G984" s="7">
        <v>0.0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5" t="s">
        <v>12</v>
      </c>
      <c r="B985" s="5" t="s">
        <v>13</v>
      </c>
      <c r="C985" s="2" t="s">
        <v>787</v>
      </c>
      <c r="D985" s="2" t="s">
        <v>83</v>
      </c>
      <c r="E985" s="2" t="s">
        <v>17</v>
      </c>
      <c r="F985" s="6">
        <v>1.4E7</v>
      </c>
      <c r="G985" s="7">
        <v>4120736.0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5" t="s">
        <v>12</v>
      </c>
      <c r="B986" s="5" t="s">
        <v>8</v>
      </c>
      <c r="C986" s="2" t="s">
        <v>787</v>
      </c>
      <c r="D986" s="2" t="s">
        <v>83</v>
      </c>
      <c r="E986" s="2" t="s">
        <v>17</v>
      </c>
      <c r="F986" s="6">
        <v>1000000.0</v>
      </c>
      <c r="G986" s="7">
        <v>966318.0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5" t="s">
        <v>12</v>
      </c>
      <c r="B987" s="5" t="s">
        <v>13</v>
      </c>
      <c r="C987" s="2" t="s">
        <v>788</v>
      </c>
      <c r="D987" s="2" t="s">
        <v>16</v>
      </c>
      <c r="E987" s="2" t="s">
        <v>14</v>
      </c>
      <c r="F987" s="6">
        <v>0.0</v>
      </c>
      <c r="G987" s="7">
        <v>0.0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5" t="s">
        <v>12</v>
      </c>
      <c r="B988" s="5" t="s">
        <v>13</v>
      </c>
      <c r="C988" s="2" t="s">
        <v>789</v>
      </c>
      <c r="D988" s="2" t="s">
        <v>83</v>
      </c>
      <c r="E988" s="2" t="s">
        <v>14</v>
      </c>
      <c r="F988" s="6">
        <v>0.0</v>
      </c>
      <c r="G988" s="7">
        <v>6312000.0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5" t="s">
        <v>12</v>
      </c>
      <c r="B989" s="5" t="s">
        <v>13</v>
      </c>
      <c r="C989" s="2" t="s">
        <v>790</v>
      </c>
      <c r="D989" s="2" t="s">
        <v>16</v>
      </c>
      <c r="E989" s="2" t="s">
        <v>14</v>
      </c>
      <c r="F989" s="6">
        <v>230000.0</v>
      </c>
      <c r="G989" s="7">
        <v>0.0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5" t="s">
        <v>12</v>
      </c>
      <c r="B990" s="5" t="s">
        <v>13</v>
      </c>
      <c r="C990" s="2" t="s">
        <v>791</v>
      </c>
      <c r="D990" s="2" t="s">
        <v>16</v>
      </c>
      <c r="E990" s="2" t="s">
        <v>14</v>
      </c>
      <c r="F990" s="6">
        <v>0.0</v>
      </c>
      <c r="G990" s="7">
        <v>0.0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5" t="s">
        <v>12</v>
      </c>
      <c r="B991" s="5" t="s">
        <v>13</v>
      </c>
      <c r="C991" s="2" t="s">
        <v>792</v>
      </c>
      <c r="D991" s="2" t="s">
        <v>16</v>
      </c>
      <c r="E991" s="2" t="s">
        <v>17</v>
      </c>
      <c r="F991" s="6">
        <v>100000.0</v>
      </c>
      <c r="G991" s="7">
        <v>0.0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5" t="s">
        <v>7</v>
      </c>
      <c r="B992" s="5" t="s">
        <v>13</v>
      </c>
      <c r="C992" s="2" t="s">
        <v>793</v>
      </c>
      <c r="D992" s="2" t="s">
        <v>48</v>
      </c>
      <c r="E992" s="2" t="s">
        <v>794</v>
      </c>
      <c r="F992" s="6">
        <v>1.0E7</v>
      </c>
      <c r="G992" s="7">
        <v>0.0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5" t="s">
        <v>12</v>
      </c>
      <c r="B993" s="5" t="s">
        <v>13</v>
      </c>
      <c r="C993" s="2" t="s">
        <v>793</v>
      </c>
      <c r="D993" s="2" t="s">
        <v>48</v>
      </c>
      <c r="E993" s="2" t="s">
        <v>33</v>
      </c>
      <c r="F993" s="6">
        <v>1.0E7</v>
      </c>
      <c r="G993" s="7">
        <v>1357132.0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5" t="s">
        <v>12</v>
      </c>
      <c r="B994" s="5" t="s">
        <v>8</v>
      </c>
      <c r="C994" s="2" t="s">
        <v>793</v>
      </c>
      <c r="D994" s="2" t="s">
        <v>48</v>
      </c>
      <c r="E994" s="2" t="s">
        <v>33</v>
      </c>
      <c r="F994" s="6">
        <v>5694978.0</v>
      </c>
      <c r="G994" s="7">
        <v>0.0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5" t="s">
        <v>12</v>
      </c>
      <c r="B995" s="5" t="s">
        <v>13</v>
      </c>
      <c r="C995" s="2" t="s">
        <v>795</v>
      </c>
      <c r="D995" s="2" t="s">
        <v>16</v>
      </c>
      <c r="E995" s="2" t="s">
        <v>14</v>
      </c>
      <c r="F995" s="6">
        <v>0.0</v>
      </c>
      <c r="G995" s="7">
        <v>0.0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5" t="s">
        <v>12</v>
      </c>
      <c r="B996" s="5" t="s">
        <v>13</v>
      </c>
      <c r="C996" s="2" t="s">
        <v>796</v>
      </c>
      <c r="D996" s="2" t="s">
        <v>88</v>
      </c>
      <c r="E996" s="2" t="s">
        <v>14</v>
      </c>
      <c r="F996" s="6">
        <v>25000.0</v>
      </c>
      <c r="G996" s="7">
        <v>21122.0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5" t="s">
        <v>12</v>
      </c>
      <c r="B997" s="5" t="s">
        <v>13</v>
      </c>
      <c r="C997" s="2" t="s">
        <v>797</v>
      </c>
      <c r="D997" s="2" t="s">
        <v>16</v>
      </c>
      <c r="E997" s="2" t="s">
        <v>14</v>
      </c>
      <c r="F997" s="6">
        <v>0.0</v>
      </c>
      <c r="G997" s="7">
        <v>0.0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5" t="s">
        <v>12</v>
      </c>
      <c r="B998" s="5" t="s">
        <v>13</v>
      </c>
      <c r="C998" s="2" t="s">
        <v>798</v>
      </c>
      <c r="D998" s="2" t="s">
        <v>16</v>
      </c>
      <c r="E998" s="2" t="s">
        <v>14</v>
      </c>
      <c r="F998" s="6">
        <v>37000.0</v>
      </c>
      <c r="G998" s="7">
        <v>43070.0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5" t="s">
        <v>12</v>
      </c>
      <c r="B999" s="5" t="s">
        <v>13</v>
      </c>
      <c r="C999" s="2" t="s">
        <v>799</v>
      </c>
      <c r="D999" s="2" t="s">
        <v>16</v>
      </c>
      <c r="E999" s="2" t="s">
        <v>14</v>
      </c>
      <c r="F999" s="6">
        <v>0.0</v>
      </c>
      <c r="G999" s="7">
        <v>0.0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5" t="s">
        <v>7</v>
      </c>
      <c r="B1000" s="5" t="s">
        <v>13</v>
      </c>
      <c r="C1000" s="2" t="s">
        <v>800</v>
      </c>
      <c r="D1000" s="2" t="s">
        <v>16</v>
      </c>
      <c r="E1000" s="2" t="s">
        <v>14</v>
      </c>
      <c r="F1000" s="6">
        <v>0.0</v>
      </c>
      <c r="G1000" s="7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5" t="s">
        <v>7</v>
      </c>
      <c r="B1001" s="5" t="s">
        <v>13</v>
      </c>
      <c r="C1001" s="2" t="s">
        <v>801</v>
      </c>
      <c r="D1001" s="2" t="s">
        <v>88</v>
      </c>
      <c r="E1001" s="2" t="s">
        <v>23</v>
      </c>
      <c r="F1001" s="6">
        <v>1500000.0</v>
      </c>
      <c r="G1001" s="7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5" t="s">
        <v>12</v>
      </c>
      <c r="B1002" s="5" t="s">
        <v>13</v>
      </c>
      <c r="C1002" s="2" t="s">
        <v>801</v>
      </c>
      <c r="D1002" s="2" t="s">
        <v>88</v>
      </c>
      <c r="E1002" s="2" t="s">
        <v>17</v>
      </c>
      <c r="F1002" s="6">
        <v>1760000.0</v>
      </c>
      <c r="G1002" s="7">
        <v>235959.0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5" t="s">
        <v>12</v>
      </c>
      <c r="B1003" s="5" t="s">
        <v>13</v>
      </c>
      <c r="C1003" s="2" t="s">
        <v>802</v>
      </c>
      <c r="D1003" s="2" t="s">
        <v>88</v>
      </c>
      <c r="E1003" s="2" t="s">
        <v>14</v>
      </c>
      <c r="F1003" s="6">
        <v>0.0</v>
      </c>
      <c r="G1003" s="7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5" t="s">
        <v>7</v>
      </c>
      <c r="B1004" s="5" t="s">
        <v>13</v>
      </c>
      <c r="C1004" s="2" t="s">
        <v>803</v>
      </c>
      <c r="D1004" s="2" t="s">
        <v>16</v>
      </c>
      <c r="E1004" s="2" t="s">
        <v>14</v>
      </c>
      <c r="F1004" s="6">
        <v>0.0</v>
      </c>
      <c r="G1004" s="7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5" t="s">
        <v>12</v>
      </c>
      <c r="B1005" s="5" t="s">
        <v>13</v>
      </c>
      <c r="C1005" s="2" t="s">
        <v>803</v>
      </c>
      <c r="D1005" s="2" t="s">
        <v>16</v>
      </c>
      <c r="E1005" s="2" t="s">
        <v>14</v>
      </c>
      <c r="F1005" s="6">
        <v>0.0</v>
      </c>
      <c r="G1005" s="7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5" t="s">
        <v>7</v>
      </c>
      <c r="B1006" s="5" t="s">
        <v>13</v>
      </c>
      <c r="C1006" s="2" t="s">
        <v>804</v>
      </c>
      <c r="D1006" s="2" t="s">
        <v>88</v>
      </c>
      <c r="E1006" s="2" t="s">
        <v>17</v>
      </c>
      <c r="F1006" s="6">
        <v>500000.0</v>
      </c>
      <c r="G1006" s="7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5" t="s">
        <v>12</v>
      </c>
      <c r="B1007" s="5" t="s">
        <v>13</v>
      </c>
      <c r="C1007" s="2" t="s">
        <v>804</v>
      </c>
      <c r="D1007" s="2" t="s">
        <v>88</v>
      </c>
      <c r="E1007" s="2" t="s">
        <v>17</v>
      </c>
      <c r="F1007" s="6">
        <v>2750000.0</v>
      </c>
      <c r="G1007" s="7">
        <v>839423.0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5" t="s">
        <v>12</v>
      </c>
      <c r="B1008" s="5" t="s">
        <v>13</v>
      </c>
      <c r="C1008" s="2" t="s">
        <v>805</v>
      </c>
      <c r="D1008" s="2" t="s">
        <v>88</v>
      </c>
      <c r="E1008" s="2" t="s">
        <v>14</v>
      </c>
      <c r="F1008" s="6">
        <v>0.0</v>
      </c>
      <c r="G1008" s="7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5" t="s">
        <v>7</v>
      </c>
      <c r="B1009" s="5" t="s">
        <v>13</v>
      </c>
      <c r="C1009" s="2" t="s">
        <v>806</v>
      </c>
      <c r="D1009" s="2" t="s">
        <v>16</v>
      </c>
      <c r="E1009" s="2" t="s">
        <v>14</v>
      </c>
      <c r="F1009" s="6">
        <v>0.0</v>
      </c>
      <c r="G1009" s="7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5" t="s">
        <v>12</v>
      </c>
      <c r="B1010" s="5" t="s">
        <v>13</v>
      </c>
      <c r="C1010" s="2" t="s">
        <v>806</v>
      </c>
      <c r="D1010" s="2" t="s">
        <v>16</v>
      </c>
      <c r="E1010" s="2" t="s">
        <v>14</v>
      </c>
      <c r="F1010" s="6">
        <v>735000.0</v>
      </c>
      <c r="G1010" s="7">
        <v>730094.0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5" t="s">
        <v>12</v>
      </c>
      <c r="B1011" s="5" t="s">
        <v>13</v>
      </c>
      <c r="C1011" s="2" t="s">
        <v>807</v>
      </c>
      <c r="D1011" s="2" t="s">
        <v>16</v>
      </c>
      <c r="E1011" s="2" t="s">
        <v>14</v>
      </c>
      <c r="F1011" s="6">
        <v>0.0</v>
      </c>
      <c r="G1011" s="7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5" t="s">
        <v>12</v>
      </c>
      <c r="B1012" s="5" t="s">
        <v>13</v>
      </c>
      <c r="C1012" s="2" t="s">
        <v>808</v>
      </c>
      <c r="D1012" s="2" t="s">
        <v>16</v>
      </c>
      <c r="E1012" s="2" t="s">
        <v>14</v>
      </c>
      <c r="F1012" s="6">
        <v>0.0</v>
      </c>
      <c r="G1012" s="7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5" t="s">
        <v>12</v>
      </c>
      <c r="B1013" s="5" t="s">
        <v>13</v>
      </c>
      <c r="C1013" s="2" t="s">
        <v>809</v>
      </c>
      <c r="D1013" s="2" t="s">
        <v>16</v>
      </c>
      <c r="E1013" s="2" t="s">
        <v>49</v>
      </c>
      <c r="F1013" s="6">
        <v>0.0</v>
      </c>
      <c r="G1013" s="7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5" t="s">
        <v>12</v>
      </c>
      <c r="B1014" s="5" t="s">
        <v>13</v>
      </c>
      <c r="C1014" s="2" t="s">
        <v>810</v>
      </c>
      <c r="D1014" s="2" t="s">
        <v>419</v>
      </c>
      <c r="E1014" s="2" t="s">
        <v>11</v>
      </c>
      <c r="F1014" s="6">
        <v>500000.0</v>
      </c>
      <c r="G1014" s="7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5" t="s">
        <v>7</v>
      </c>
      <c r="B1015" s="5" t="s">
        <v>8</v>
      </c>
      <c r="C1015" s="2" t="s">
        <v>811</v>
      </c>
      <c r="D1015" s="2" t="s">
        <v>32</v>
      </c>
      <c r="E1015" s="2" t="s">
        <v>14</v>
      </c>
      <c r="F1015" s="6">
        <v>0.0</v>
      </c>
      <c r="G1015" s="7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5" t="s">
        <v>7</v>
      </c>
      <c r="B1016" s="5" t="s">
        <v>13</v>
      </c>
      <c r="C1016" s="2" t="s">
        <v>811</v>
      </c>
      <c r="D1016" s="2" t="s">
        <v>32</v>
      </c>
      <c r="E1016" s="2" t="s">
        <v>14</v>
      </c>
      <c r="F1016" s="6">
        <v>0.0</v>
      </c>
      <c r="G1016" s="7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5" t="s">
        <v>12</v>
      </c>
      <c r="B1017" s="5" t="s">
        <v>13</v>
      </c>
      <c r="C1017" s="2" t="s">
        <v>811</v>
      </c>
      <c r="D1017" s="2" t="s">
        <v>32</v>
      </c>
      <c r="E1017" s="2" t="s">
        <v>49</v>
      </c>
      <c r="F1017" s="6">
        <v>0.0</v>
      </c>
      <c r="G1017" s="7">
        <v>-8909.0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5" t="s">
        <v>12</v>
      </c>
      <c r="B1018" s="5" t="s">
        <v>13</v>
      </c>
      <c r="C1018" s="2" t="s">
        <v>812</v>
      </c>
      <c r="D1018" s="2" t="s">
        <v>16</v>
      </c>
      <c r="E1018" s="2" t="s">
        <v>14</v>
      </c>
      <c r="F1018" s="6">
        <v>0.0</v>
      </c>
      <c r="G1018" s="7">
        <v>0.0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5" t="s">
        <v>12</v>
      </c>
      <c r="B1019" s="5" t="s">
        <v>13</v>
      </c>
      <c r="C1019" s="2" t="s">
        <v>813</v>
      </c>
      <c r="D1019" s="2" t="s">
        <v>16</v>
      </c>
      <c r="E1019" s="2" t="s">
        <v>14</v>
      </c>
      <c r="F1019" s="6">
        <v>0.0</v>
      </c>
      <c r="G1019" s="7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5" t="s">
        <v>12</v>
      </c>
      <c r="B1020" s="5" t="s">
        <v>13</v>
      </c>
      <c r="C1020" s="2" t="s">
        <v>814</v>
      </c>
      <c r="D1020" s="2" t="s">
        <v>16</v>
      </c>
      <c r="E1020" s="2" t="s">
        <v>14</v>
      </c>
      <c r="F1020" s="6">
        <v>0.0</v>
      </c>
      <c r="G1020" s="7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5" t="s">
        <v>7</v>
      </c>
      <c r="B1021" s="5" t="s">
        <v>13</v>
      </c>
      <c r="C1021" s="2" t="s">
        <v>815</v>
      </c>
      <c r="D1021" s="2" t="s">
        <v>32</v>
      </c>
      <c r="E1021" s="2" t="s">
        <v>223</v>
      </c>
      <c r="F1021" s="6">
        <v>3700000.0</v>
      </c>
      <c r="G1021" s="7">
        <v>0.0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5" t="s">
        <v>12</v>
      </c>
      <c r="B1022" s="5" t="s">
        <v>13</v>
      </c>
      <c r="C1022" s="2" t="s">
        <v>815</v>
      </c>
      <c r="D1022" s="2" t="s">
        <v>32</v>
      </c>
      <c r="E1022" s="2" t="s">
        <v>96</v>
      </c>
      <c r="F1022" s="6">
        <v>3700000.0</v>
      </c>
      <c r="G1022" s="7">
        <v>3519794.0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5" t="s">
        <v>12</v>
      </c>
      <c r="B1023" s="5" t="s">
        <v>13</v>
      </c>
      <c r="C1023" s="2" t="s">
        <v>816</v>
      </c>
      <c r="D1023" s="2" t="s">
        <v>32</v>
      </c>
      <c r="E1023" s="2" t="s">
        <v>14</v>
      </c>
      <c r="F1023" s="6">
        <v>0.0</v>
      </c>
      <c r="G1023" s="7">
        <v>1274.0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5" t="s">
        <v>12</v>
      </c>
      <c r="B1024" s="5" t="s">
        <v>13</v>
      </c>
      <c r="C1024" s="2" t="s">
        <v>817</v>
      </c>
      <c r="D1024" s="2" t="s">
        <v>16</v>
      </c>
      <c r="E1024" s="2" t="s">
        <v>14</v>
      </c>
      <c r="F1024" s="6">
        <v>0.0</v>
      </c>
      <c r="G1024" s="7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5" t="s">
        <v>12</v>
      </c>
      <c r="B1025" s="5" t="s">
        <v>13</v>
      </c>
      <c r="C1025" s="2" t="s">
        <v>818</v>
      </c>
      <c r="D1025" s="2" t="s">
        <v>16</v>
      </c>
      <c r="E1025" s="2" t="s">
        <v>14</v>
      </c>
      <c r="F1025" s="6">
        <v>0.0</v>
      </c>
      <c r="G1025" s="7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5" t="s">
        <v>12</v>
      </c>
      <c r="B1026" s="5" t="s">
        <v>13</v>
      </c>
      <c r="C1026" s="2" t="s">
        <v>819</v>
      </c>
      <c r="D1026" s="2" t="s">
        <v>16</v>
      </c>
      <c r="E1026" s="2" t="s">
        <v>33</v>
      </c>
      <c r="F1026" s="6">
        <v>0.0</v>
      </c>
      <c r="G1026" s="7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5" t="s">
        <v>12</v>
      </c>
      <c r="B1027" s="5" t="s">
        <v>13</v>
      </c>
      <c r="C1027" s="2" t="s">
        <v>820</v>
      </c>
      <c r="D1027" s="2" t="s">
        <v>16</v>
      </c>
      <c r="E1027" s="2" t="s">
        <v>49</v>
      </c>
      <c r="F1027" s="6">
        <v>1000000.0</v>
      </c>
      <c r="G1027" s="7">
        <v>3304.0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5" t="s">
        <v>12</v>
      </c>
      <c r="B1028" s="5" t="s">
        <v>8</v>
      </c>
      <c r="C1028" s="2" t="s">
        <v>821</v>
      </c>
      <c r="D1028" s="2" t="s">
        <v>16</v>
      </c>
      <c r="E1028" s="2" t="s">
        <v>14</v>
      </c>
      <c r="F1028" s="6">
        <v>0.0</v>
      </c>
      <c r="G1028" s="7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5" t="s">
        <v>12</v>
      </c>
      <c r="B1029" s="5" t="s">
        <v>13</v>
      </c>
      <c r="C1029" s="2" t="s">
        <v>822</v>
      </c>
      <c r="D1029" s="2" t="s">
        <v>16</v>
      </c>
      <c r="E1029" s="2" t="s">
        <v>14</v>
      </c>
      <c r="F1029" s="6">
        <v>0.0</v>
      </c>
      <c r="G1029" s="7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5" t="s">
        <v>12</v>
      </c>
      <c r="B1030" s="5" t="s">
        <v>13</v>
      </c>
      <c r="C1030" s="2" t="s">
        <v>823</v>
      </c>
      <c r="D1030" s="2" t="s">
        <v>115</v>
      </c>
      <c r="E1030" s="2" t="s">
        <v>49</v>
      </c>
      <c r="F1030" s="6">
        <v>500000.0</v>
      </c>
      <c r="G1030" s="7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5" t="s">
        <v>12</v>
      </c>
      <c r="B1031" s="5" t="s">
        <v>13</v>
      </c>
      <c r="C1031" s="2" t="s">
        <v>824</v>
      </c>
      <c r="D1031" s="2" t="s">
        <v>37</v>
      </c>
      <c r="E1031" s="2" t="s">
        <v>14</v>
      </c>
      <c r="F1031" s="6">
        <v>1500.0</v>
      </c>
      <c r="G1031" s="7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5" t="s">
        <v>12</v>
      </c>
      <c r="B1032" s="5" t="s">
        <v>13</v>
      </c>
      <c r="C1032" s="2" t="s">
        <v>825</v>
      </c>
      <c r="D1032" s="2" t="s">
        <v>16</v>
      </c>
      <c r="E1032" s="2" t="s">
        <v>14</v>
      </c>
      <c r="F1032" s="6">
        <v>0.0</v>
      </c>
      <c r="G1032" s="7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5" t="s">
        <v>12</v>
      </c>
      <c r="B1033" s="5" t="s">
        <v>13</v>
      </c>
      <c r="C1033" s="2" t="s">
        <v>826</v>
      </c>
      <c r="D1033" s="2" t="s">
        <v>88</v>
      </c>
      <c r="E1033" s="2" t="s">
        <v>49</v>
      </c>
      <c r="F1033" s="6">
        <v>1500000.0</v>
      </c>
      <c r="G1033" s="7">
        <v>588937.0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5" t="s">
        <v>12</v>
      </c>
      <c r="B1034" s="5" t="s">
        <v>13</v>
      </c>
      <c r="C1034" s="2" t="s">
        <v>827</v>
      </c>
      <c r="D1034" s="2" t="s">
        <v>16</v>
      </c>
      <c r="E1034" s="2" t="s">
        <v>14</v>
      </c>
      <c r="F1034" s="6">
        <v>0.0</v>
      </c>
      <c r="G1034" s="7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5" t="s">
        <v>7</v>
      </c>
      <c r="B1035" s="5" t="s">
        <v>13</v>
      </c>
      <c r="C1035" s="2" t="s">
        <v>828</v>
      </c>
      <c r="D1035" s="2" t="s">
        <v>16</v>
      </c>
      <c r="E1035" s="2" t="s">
        <v>144</v>
      </c>
      <c r="F1035" s="6">
        <v>1500000.0</v>
      </c>
      <c r="G1035" s="7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5" t="s">
        <v>12</v>
      </c>
      <c r="B1036" s="5" t="s">
        <v>13</v>
      </c>
      <c r="C1036" s="2" t="s">
        <v>829</v>
      </c>
      <c r="D1036" s="2" t="s">
        <v>16</v>
      </c>
      <c r="E1036" s="2" t="s">
        <v>33</v>
      </c>
      <c r="F1036" s="6">
        <v>0.0</v>
      </c>
      <c r="G1036" s="7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5" t="s">
        <v>12</v>
      </c>
      <c r="B1037" s="5" t="s">
        <v>13</v>
      </c>
      <c r="C1037" s="2" t="s">
        <v>830</v>
      </c>
      <c r="D1037" s="2" t="s">
        <v>16</v>
      </c>
      <c r="E1037" s="2" t="s">
        <v>187</v>
      </c>
      <c r="F1037" s="6">
        <v>200000.0</v>
      </c>
      <c r="G1037" s="7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5" t="s">
        <v>12</v>
      </c>
      <c r="B1038" s="5" t="s">
        <v>13</v>
      </c>
      <c r="C1038" s="2" t="s">
        <v>831</v>
      </c>
      <c r="D1038" s="2" t="s">
        <v>48</v>
      </c>
      <c r="E1038" s="2" t="s">
        <v>14</v>
      </c>
      <c r="F1038" s="6">
        <v>2413000.0</v>
      </c>
      <c r="G1038" s="7">
        <v>6114000.0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5" t="s">
        <v>12</v>
      </c>
      <c r="B1039" s="5" t="s">
        <v>13</v>
      </c>
      <c r="C1039" s="2" t="s">
        <v>832</v>
      </c>
      <c r="D1039" s="2" t="s">
        <v>16</v>
      </c>
      <c r="E1039" s="2" t="s">
        <v>17</v>
      </c>
      <c r="F1039" s="6">
        <v>0.0</v>
      </c>
      <c r="G1039" s="7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5" t="s">
        <v>12</v>
      </c>
      <c r="B1040" s="5" t="s">
        <v>13</v>
      </c>
      <c r="C1040" s="2" t="s">
        <v>833</v>
      </c>
      <c r="D1040" s="2" t="s">
        <v>16</v>
      </c>
      <c r="E1040" s="2" t="s">
        <v>17</v>
      </c>
      <c r="F1040" s="6">
        <v>3600000.0</v>
      </c>
      <c r="G1040" s="7">
        <v>196930.0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5" t="s">
        <v>12</v>
      </c>
      <c r="B1041" s="5" t="s">
        <v>13</v>
      </c>
      <c r="C1041" s="2" t="s">
        <v>834</v>
      </c>
      <c r="D1041" s="2" t="s">
        <v>16</v>
      </c>
      <c r="E1041" s="2" t="s">
        <v>14</v>
      </c>
      <c r="F1041" s="6">
        <v>0.0</v>
      </c>
      <c r="G1041" s="7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>
      <c r="A1042" s="5" t="s">
        <v>12</v>
      </c>
      <c r="B1042" s="5" t="s">
        <v>13</v>
      </c>
      <c r="C1042" s="2" t="s">
        <v>835</v>
      </c>
      <c r="D1042" s="2" t="s">
        <v>16</v>
      </c>
      <c r="E1042" s="2" t="s">
        <v>14</v>
      </c>
      <c r="F1042" s="6">
        <v>0.0</v>
      </c>
      <c r="G1042" s="7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>
      <c r="A1043" s="5" t="s">
        <v>12</v>
      </c>
      <c r="B1043" s="5" t="s">
        <v>13</v>
      </c>
      <c r="C1043" s="2" t="s">
        <v>836</v>
      </c>
      <c r="D1043" s="2" t="s">
        <v>16</v>
      </c>
      <c r="E1043" s="2" t="s">
        <v>17</v>
      </c>
      <c r="F1043" s="6">
        <v>0.0</v>
      </c>
      <c r="G1043" s="7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>
      <c r="A1044" s="5" t="s">
        <v>12</v>
      </c>
      <c r="B1044" s="5" t="s">
        <v>13</v>
      </c>
      <c r="C1044" s="2" t="s">
        <v>837</v>
      </c>
      <c r="D1044" s="2" t="s">
        <v>16</v>
      </c>
      <c r="E1044" s="2" t="s">
        <v>14</v>
      </c>
      <c r="F1044" s="6">
        <v>0.0</v>
      </c>
      <c r="G1044" s="7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>
      <c r="A1045" s="5" t="s">
        <v>12</v>
      </c>
      <c r="B1045" s="5" t="s">
        <v>8</v>
      </c>
      <c r="C1045" s="2" t="s">
        <v>838</v>
      </c>
      <c r="D1045" s="2" t="s">
        <v>16</v>
      </c>
      <c r="E1045" s="2" t="s">
        <v>49</v>
      </c>
      <c r="F1045" s="6">
        <v>1.0</v>
      </c>
      <c r="G1045" s="7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>
      <c r="A1046" s="5" t="s">
        <v>12</v>
      </c>
      <c r="B1046" s="5" t="s">
        <v>13</v>
      </c>
      <c r="C1046" s="2" t="s">
        <v>839</v>
      </c>
      <c r="D1046" s="2" t="s">
        <v>16</v>
      </c>
      <c r="E1046" s="2" t="s">
        <v>14</v>
      </c>
      <c r="F1046" s="6">
        <v>0.0</v>
      </c>
      <c r="G1046" s="7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>
      <c r="A1047" s="5" t="s">
        <v>12</v>
      </c>
      <c r="B1047" s="5" t="s">
        <v>13</v>
      </c>
      <c r="C1047" s="2" t="s">
        <v>840</v>
      </c>
      <c r="D1047" s="2" t="s">
        <v>16</v>
      </c>
      <c r="E1047" s="2" t="s">
        <v>14</v>
      </c>
      <c r="F1047" s="6">
        <v>0.0</v>
      </c>
      <c r="G1047" s="7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>
      <c r="A1048" s="5" t="s">
        <v>12</v>
      </c>
      <c r="B1048" s="5" t="s">
        <v>13</v>
      </c>
      <c r="C1048" s="2" t="s">
        <v>841</v>
      </c>
      <c r="D1048" s="2" t="s">
        <v>16</v>
      </c>
      <c r="E1048" s="2" t="s">
        <v>14</v>
      </c>
      <c r="F1048" s="6">
        <v>0.0</v>
      </c>
      <c r="G1048" s="7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>
      <c r="A1049" s="5" t="s">
        <v>12</v>
      </c>
      <c r="B1049" s="5" t="s">
        <v>13</v>
      </c>
      <c r="C1049" s="2" t="s">
        <v>842</v>
      </c>
      <c r="D1049" s="2" t="s">
        <v>16</v>
      </c>
      <c r="E1049" s="2" t="s">
        <v>14</v>
      </c>
      <c r="F1049" s="6">
        <v>258000.0</v>
      </c>
      <c r="G1049" s="7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>
      <c r="A1050" s="5" t="s">
        <v>12</v>
      </c>
      <c r="B1050" s="5" t="s">
        <v>8</v>
      </c>
      <c r="C1050" s="2" t="s">
        <v>842</v>
      </c>
      <c r="D1050" s="2" t="s">
        <v>16</v>
      </c>
      <c r="E1050" s="2" t="s">
        <v>11</v>
      </c>
      <c r="F1050" s="6">
        <v>650000.0</v>
      </c>
      <c r="G1050" s="7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>
      <c r="A1051" s="5" t="s">
        <v>12</v>
      </c>
      <c r="B1051" s="5" t="s">
        <v>13</v>
      </c>
      <c r="C1051" s="2" t="s">
        <v>843</v>
      </c>
      <c r="D1051" s="2" t="s">
        <v>16</v>
      </c>
      <c r="E1051" s="2" t="s">
        <v>14</v>
      </c>
      <c r="F1051" s="6">
        <v>16000.0</v>
      </c>
      <c r="G1051" s="7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>
      <c r="A1052" s="5" t="s">
        <v>12</v>
      </c>
      <c r="B1052" s="5" t="s">
        <v>13</v>
      </c>
      <c r="C1052" s="2" t="s">
        <v>844</v>
      </c>
      <c r="D1052" s="2" t="s">
        <v>16</v>
      </c>
      <c r="E1052" s="2" t="s">
        <v>14</v>
      </c>
      <c r="F1052" s="6">
        <v>0.0</v>
      </c>
      <c r="G1052" s="7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>
      <c r="A1053" s="5" t="s">
        <v>7</v>
      </c>
      <c r="B1053" s="5" t="s">
        <v>8</v>
      </c>
      <c r="C1053" s="2" t="s">
        <v>845</v>
      </c>
      <c r="D1053" s="2" t="s">
        <v>10</v>
      </c>
      <c r="E1053" s="2" t="s">
        <v>49</v>
      </c>
      <c r="F1053" s="6">
        <v>700000.0</v>
      </c>
      <c r="G1053" s="7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>
      <c r="A1054" s="5" t="s">
        <v>12</v>
      </c>
      <c r="B1054" s="5" t="s">
        <v>13</v>
      </c>
      <c r="C1054" s="2" t="s">
        <v>845</v>
      </c>
      <c r="D1054" s="2" t="s">
        <v>10</v>
      </c>
      <c r="E1054" s="2" t="s">
        <v>14</v>
      </c>
      <c r="F1054" s="6">
        <v>0.0</v>
      </c>
      <c r="G1054" s="7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>
      <c r="A1055" s="5" t="s">
        <v>12</v>
      </c>
      <c r="B1055" s="5" t="s">
        <v>8</v>
      </c>
      <c r="C1055" s="2" t="s">
        <v>845</v>
      </c>
      <c r="D1055" s="2" t="s">
        <v>10</v>
      </c>
      <c r="E1055" s="2" t="s">
        <v>49</v>
      </c>
      <c r="F1055" s="6">
        <v>700000.0</v>
      </c>
      <c r="G1055" s="7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>
      <c r="A1056" s="5" t="s">
        <v>7</v>
      </c>
      <c r="B1056" s="5" t="s">
        <v>8</v>
      </c>
      <c r="C1056" s="2" t="s">
        <v>846</v>
      </c>
      <c r="D1056" s="2" t="s">
        <v>10</v>
      </c>
      <c r="E1056" s="2" t="s">
        <v>14</v>
      </c>
      <c r="F1056" s="6">
        <v>0.0</v>
      </c>
      <c r="G1056" s="7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>
      <c r="A1057" s="5" t="s">
        <v>12</v>
      </c>
      <c r="B1057" s="5" t="s">
        <v>13</v>
      </c>
      <c r="C1057" s="2" t="s">
        <v>846</v>
      </c>
      <c r="D1057" s="2" t="s">
        <v>10</v>
      </c>
      <c r="E1057" s="2" t="s">
        <v>17</v>
      </c>
      <c r="F1057" s="6">
        <v>0.0</v>
      </c>
      <c r="G1057" s="7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>
      <c r="A1058" s="5" t="s">
        <v>12</v>
      </c>
      <c r="B1058" s="5" t="s">
        <v>8</v>
      </c>
      <c r="C1058" s="2" t="s">
        <v>846</v>
      </c>
      <c r="D1058" s="2" t="s">
        <v>10</v>
      </c>
      <c r="E1058" s="2" t="s">
        <v>11</v>
      </c>
      <c r="F1058" s="6">
        <v>1034000.0</v>
      </c>
      <c r="G1058" s="7">
        <v>-80805.0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>
      <c r="A1059" s="5" t="s">
        <v>7</v>
      </c>
      <c r="B1059" s="5" t="s">
        <v>13</v>
      </c>
      <c r="C1059" s="2" t="s">
        <v>847</v>
      </c>
      <c r="D1059" s="2" t="s">
        <v>88</v>
      </c>
      <c r="E1059" s="2" t="s">
        <v>223</v>
      </c>
      <c r="F1059" s="6">
        <v>1700000.0</v>
      </c>
      <c r="G1059" s="7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>
      <c r="A1060" s="5" t="s">
        <v>12</v>
      </c>
      <c r="B1060" s="5" t="s">
        <v>13</v>
      </c>
      <c r="C1060" s="2" t="s">
        <v>847</v>
      </c>
      <c r="D1060" s="2" t="s">
        <v>88</v>
      </c>
      <c r="E1060" s="2" t="s">
        <v>96</v>
      </c>
      <c r="F1060" s="6">
        <v>1700000.0</v>
      </c>
      <c r="G1060" s="7">
        <v>688706.0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>
      <c r="A1061" s="5" t="s">
        <v>12</v>
      </c>
      <c r="B1061" s="5" t="s">
        <v>13</v>
      </c>
      <c r="C1061" s="2" t="s">
        <v>848</v>
      </c>
      <c r="D1061" s="2" t="s">
        <v>88</v>
      </c>
      <c r="E1061" s="2" t="s">
        <v>96</v>
      </c>
      <c r="F1061" s="6">
        <v>0.0</v>
      </c>
      <c r="G1061" s="7">
        <v>933200.0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>
      <c r="A1062" s="5" t="s">
        <v>12</v>
      </c>
      <c r="B1062" s="5" t="s">
        <v>8</v>
      </c>
      <c r="C1062" s="2" t="s">
        <v>849</v>
      </c>
      <c r="D1062" s="2" t="s">
        <v>48</v>
      </c>
      <c r="E1062" s="2" t="s">
        <v>17</v>
      </c>
      <c r="F1062" s="6">
        <v>4000000.0</v>
      </c>
      <c r="G1062" s="7">
        <v>1586100.8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>
      <c r="A1063" s="5" t="s">
        <v>12</v>
      </c>
      <c r="B1063" s="5" t="s">
        <v>13</v>
      </c>
      <c r="C1063" s="2" t="s">
        <v>849</v>
      </c>
      <c r="D1063" s="2" t="s">
        <v>48</v>
      </c>
      <c r="E1063" s="2" t="s">
        <v>14</v>
      </c>
      <c r="F1063" s="6">
        <v>2013000.0</v>
      </c>
      <c r="G1063" s="7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>
      <c r="A1064" s="5" t="s">
        <v>12</v>
      </c>
      <c r="B1064" s="5" t="s">
        <v>13</v>
      </c>
      <c r="C1064" s="2" t="s">
        <v>850</v>
      </c>
      <c r="D1064" s="2" t="s">
        <v>16</v>
      </c>
      <c r="E1064" s="2" t="s">
        <v>11</v>
      </c>
      <c r="F1064" s="6">
        <v>200000.0</v>
      </c>
      <c r="G1064" s="7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>
      <c r="A1065" s="5" t="s">
        <v>12</v>
      </c>
      <c r="B1065" s="5" t="s">
        <v>13</v>
      </c>
      <c r="C1065" s="2" t="s">
        <v>851</v>
      </c>
      <c r="D1065" s="2" t="s">
        <v>16</v>
      </c>
      <c r="E1065" s="2" t="s">
        <v>14</v>
      </c>
      <c r="F1065" s="6">
        <v>0.0</v>
      </c>
      <c r="G1065" s="7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>
      <c r="A1066" s="5" t="s">
        <v>7</v>
      </c>
      <c r="B1066" s="5" t="s">
        <v>13</v>
      </c>
      <c r="C1066" s="2" t="s">
        <v>852</v>
      </c>
      <c r="D1066" s="2" t="s">
        <v>88</v>
      </c>
      <c r="E1066" s="2" t="s">
        <v>49</v>
      </c>
      <c r="F1066" s="6">
        <v>200000.0</v>
      </c>
      <c r="G1066" s="7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>
      <c r="A1067" s="5" t="s">
        <v>12</v>
      </c>
      <c r="B1067" s="5" t="s">
        <v>13</v>
      </c>
      <c r="C1067" s="2" t="s">
        <v>852</v>
      </c>
      <c r="D1067" s="2" t="s">
        <v>88</v>
      </c>
      <c r="E1067" s="2" t="s">
        <v>49</v>
      </c>
      <c r="F1067" s="6">
        <v>1000000.0</v>
      </c>
      <c r="G1067" s="7">
        <v>229273.5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>
      <c r="A1068" s="5" t="s">
        <v>12</v>
      </c>
      <c r="B1068" s="5" t="s">
        <v>13</v>
      </c>
      <c r="C1068" s="2" t="s">
        <v>853</v>
      </c>
      <c r="D1068" s="2" t="s">
        <v>16</v>
      </c>
      <c r="E1068" s="2" t="s">
        <v>14</v>
      </c>
      <c r="F1068" s="6">
        <v>0.0</v>
      </c>
      <c r="G1068" s="7">
        <v>0.0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>
      <c r="A1069" s="5" t="s">
        <v>12</v>
      </c>
      <c r="B1069" s="5" t="s">
        <v>13</v>
      </c>
      <c r="C1069" s="2" t="s">
        <v>854</v>
      </c>
      <c r="D1069" s="2" t="s">
        <v>16</v>
      </c>
      <c r="E1069" s="2" t="s">
        <v>14</v>
      </c>
      <c r="F1069" s="6">
        <v>0.0</v>
      </c>
      <c r="G1069" s="7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>
      <c r="A1070" s="5" t="s">
        <v>7</v>
      </c>
      <c r="B1070" s="5" t="s">
        <v>13</v>
      </c>
      <c r="C1070" s="2" t="s">
        <v>855</v>
      </c>
      <c r="D1070" s="2" t="s">
        <v>32</v>
      </c>
      <c r="E1070" s="2" t="s">
        <v>144</v>
      </c>
      <c r="F1070" s="6">
        <v>1150000.0</v>
      </c>
      <c r="G1070" s="7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>
      <c r="A1071" s="5" t="s">
        <v>12</v>
      </c>
      <c r="B1071" s="5" t="s">
        <v>13</v>
      </c>
      <c r="C1071" s="2" t="s">
        <v>855</v>
      </c>
      <c r="D1071" s="2" t="s">
        <v>32</v>
      </c>
      <c r="E1071" s="2" t="s">
        <v>49</v>
      </c>
      <c r="F1071" s="6">
        <v>1150000.0</v>
      </c>
      <c r="G1071" s="7">
        <v>427160.0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>
      <c r="A1072" s="5" t="s">
        <v>7</v>
      </c>
      <c r="B1072" s="5" t="s">
        <v>13</v>
      </c>
      <c r="C1072" s="2" t="s">
        <v>856</v>
      </c>
      <c r="D1072" s="2" t="s">
        <v>88</v>
      </c>
      <c r="E1072" s="2" t="s">
        <v>23</v>
      </c>
      <c r="F1072" s="6">
        <v>1350000.0</v>
      </c>
      <c r="G1072" s="7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>
      <c r="A1073" s="5" t="s">
        <v>12</v>
      </c>
      <c r="B1073" s="5" t="s">
        <v>13</v>
      </c>
      <c r="C1073" s="2" t="s">
        <v>856</v>
      </c>
      <c r="D1073" s="2" t="s">
        <v>88</v>
      </c>
      <c r="E1073" s="2" t="s">
        <v>17</v>
      </c>
      <c r="F1073" s="6">
        <v>1350000.0</v>
      </c>
      <c r="G1073" s="7">
        <v>799691.0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>
      <c r="A1074" s="5" t="s">
        <v>12</v>
      </c>
      <c r="B1074" s="5" t="s">
        <v>13</v>
      </c>
      <c r="C1074" s="2" t="s">
        <v>857</v>
      </c>
      <c r="D1074" s="2" t="s">
        <v>16</v>
      </c>
      <c r="E1074" s="2" t="s">
        <v>14</v>
      </c>
      <c r="F1074" s="6">
        <v>0.0</v>
      </c>
      <c r="G1074" s="7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>
      <c r="A1075" s="5" t="s">
        <v>12</v>
      </c>
      <c r="B1075" s="5" t="s">
        <v>13</v>
      </c>
      <c r="C1075" s="2" t="s">
        <v>858</v>
      </c>
      <c r="D1075" s="2" t="s">
        <v>16</v>
      </c>
      <c r="E1075" s="2" t="s">
        <v>14</v>
      </c>
      <c r="F1075" s="6">
        <v>354000.0</v>
      </c>
      <c r="G1075" s="7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>
      <c r="A1076" s="5" t="s">
        <v>12</v>
      </c>
      <c r="B1076" s="5" t="s">
        <v>13</v>
      </c>
      <c r="C1076" s="2" t="s">
        <v>859</v>
      </c>
      <c r="D1076" s="2" t="s">
        <v>26</v>
      </c>
      <c r="E1076" s="2" t="s">
        <v>14</v>
      </c>
      <c r="F1076" s="6">
        <v>0.0</v>
      </c>
      <c r="G1076" s="7">
        <v>798696.0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>
      <c r="A1077" s="5" t="s">
        <v>12</v>
      </c>
      <c r="B1077" s="5" t="s">
        <v>8</v>
      </c>
      <c r="C1077" s="2" t="s">
        <v>860</v>
      </c>
      <c r="D1077" s="2" t="s">
        <v>16</v>
      </c>
      <c r="E1077" s="2" t="s">
        <v>14</v>
      </c>
      <c r="F1077" s="6">
        <v>300000.0</v>
      </c>
      <c r="G1077" s="7">
        <v>0.0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>
      <c r="A1078" s="5" t="s">
        <v>12</v>
      </c>
      <c r="B1078" s="5" t="s">
        <v>13</v>
      </c>
      <c r="C1078" s="2" t="s">
        <v>861</v>
      </c>
      <c r="D1078" s="2" t="s">
        <v>16</v>
      </c>
      <c r="E1078" s="2" t="s">
        <v>14</v>
      </c>
      <c r="F1078" s="6">
        <v>0.0</v>
      </c>
      <c r="G1078" s="7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>
      <c r="A1079" s="5" t="s">
        <v>12</v>
      </c>
      <c r="B1079" s="5" t="s">
        <v>8</v>
      </c>
      <c r="C1079" s="2" t="s">
        <v>861</v>
      </c>
      <c r="D1079" s="2" t="s">
        <v>16</v>
      </c>
      <c r="E1079" s="2" t="s">
        <v>49</v>
      </c>
      <c r="F1079" s="6">
        <v>0.0</v>
      </c>
      <c r="G1079" s="7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>
      <c r="A1080" s="5" t="s">
        <v>12</v>
      </c>
      <c r="B1080" s="5" t="s">
        <v>13</v>
      </c>
      <c r="C1080" s="2" t="s">
        <v>862</v>
      </c>
      <c r="D1080" s="2" t="s">
        <v>16</v>
      </c>
      <c r="E1080" s="2" t="s">
        <v>14</v>
      </c>
      <c r="F1080" s="6">
        <v>0.0</v>
      </c>
      <c r="G1080" s="7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>
      <c r="A1081" s="5" t="s">
        <v>7</v>
      </c>
      <c r="B1081" s="5" t="s">
        <v>13</v>
      </c>
      <c r="C1081" s="2" t="s">
        <v>863</v>
      </c>
      <c r="D1081" s="2" t="s">
        <v>32</v>
      </c>
      <c r="E1081" s="2" t="s">
        <v>49</v>
      </c>
      <c r="F1081" s="6">
        <v>700000.0</v>
      </c>
      <c r="G1081" s="7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>
      <c r="A1082" s="5" t="s">
        <v>12</v>
      </c>
      <c r="B1082" s="5" t="s">
        <v>13</v>
      </c>
      <c r="C1082" s="2" t="s">
        <v>863</v>
      </c>
      <c r="D1082" s="2" t="s">
        <v>32</v>
      </c>
      <c r="E1082" s="2" t="s">
        <v>49</v>
      </c>
      <c r="F1082" s="6">
        <v>1500000.0</v>
      </c>
      <c r="G1082" s="7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>
      <c r="A1083" s="5" t="s">
        <v>12</v>
      </c>
      <c r="B1083" s="5" t="s">
        <v>13</v>
      </c>
      <c r="C1083" s="2" t="s">
        <v>864</v>
      </c>
      <c r="D1083" s="2" t="s">
        <v>32</v>
      </c>
      <c r="E1083" s="2" t="s">
        <v>14</v>
      </c>
      <c r="F1083" s="6">
        <v>0.0</v>
      </c>
      <c r="G1083" s="7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>
      <c r="A1084" s="5" t="s">
        <v>12</v>
      </c>
      <c r="B1084" s="5" t="s">
        <v>13</v>
      </c>
      <c r="C1084" s="2" t="s">
        <v>865</v>
      </c>
      <c r="D1084" s="2" t="s">
        <v>16</v>
      </c>
      <c r="E1084" s="2" t="s">
        <v>14</v>
      </c>
      <c r="F1084" s="6">
        <v>0.0</v>
      </c>
      <c r="G1084" s="7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>
      <c r="A1085" s="5" t="s">
        <v>12</v>
      </c>
      <c r="B1085" s="5" t="s">
        <v>13</v>
      </c>
      <c r="C1085" s="2" t="s">
        <v>866</v>
      </c>
      <c r="D1085" s="2" t="s">
        <v>32</v>
      </c>
      <c r="E1085" s="2" t="s">
        <v>17</v>
      </c>
      <c r="F1085" s="6">
        <v>1250000.0</v>
      </c>
      <c r="G1085" s="7">
        <v>1325743.0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>
      <c r="A1086" s="5" t="s">
        <v>12</v>
      </c>
      <c r="B1086" s="5" t="s">
        <v>13</v>
      </c>
      <c r="C1086" s="2" t="s">
        <v>867</v>
      </c>
      <c r="D1086" s="2" t="s">
        <v>16</v>
      </c>
      <c r="E1086" s="2" t="s">
        <v>14</v>
      </c>
      <c r="F1086" s="6">
        <v>0.0</v>
      </c>
      <c r="G1086" s="7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>
      <c r="A1087" s="5" t="s">
        <v>12</v>
      </c>
      <c r="B1087" s="5" t="s">
        <v>13</v>
      </c>
      <c r="C1087" s="2" t="s">
        <v>868</v>
      </c>
      <c r="D1087" s="2" t="s">
        <v>26</v>
      </c>
      <c r="E1087" s="2" t="s">
        <v>14</v>
      </c>
      <c r="F1087" s="6">
        <v>1.25E7</v>
      </c>
      <c r="G1087" s="7">
        <v>-100000.0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>
      <c r="A1088" s="5" t="s">
        <v>12</v>
      </c>
      <c r="B1088" s="5" t="s">
        <v>13</v>
      </c>
      <c r="C1088" s="2" t="s">
        <v>869</v>
      </c>
      <c r="D1088" s="2" t="s">
        <v>26</v>
      </c>
      <c r="E1088" s="2" t="s">
        <v>14</v>
      </c>
      <c r="F1088" s="6">
        <v>0.0</v>
      </c>
      <c r="G1088" s="7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>
      <c r="A1089" s="5" t="s">
        <v>7</v>
      </c>
      <c r="B1089" s="5" t="s">
        <v>13</v>
      </c>
      <c r="C1089" s="2" t="s">
        <v>870</v>
      </c>
      <c r="D1089" s="2" t="s">
        <v>32</v>
      </c>
      <c r="E1089" s="2" t="s">
        <v>23</v>
      </c>
      <c r="F1089" s="6">
        <v>3000000.0</v>
      </c>
      <c r="G1089" s="7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>
      <c r="A1090" s="5" t="s">
        <v>12</v>
      </c>
      <c r="B1090" s="5" t="s">
        <v>13</v>
      </c>
      <c r="C1090" s="2" t="s">
        <v>870</v>
      </c>
      <c r="D1090" s="2" t="s">
        <v>32</v>
      </c>
      <c r="E1090" s="2" t="s">
        <v>17</v>
      </c>
      <c r="F1090" s="6">
        <v>3000000.0</v>
      </c>
      <c r="G1090" s="7">
        <v>1218219.0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>
      <c r="A1091" s="5" t="s">
        <v>12</v>
      </c>
      <c r="B1091" s="5" t="s">
        <v>13</v>
      </c>
      <c r="C1091" s="2" t="s">
        <v>871</v>
      </c>
      <c r="D1091" s="2" t="s">
        <v>32</v>
      </c>
      <c r="E1091" s="2" t="s">
        <v>14</v>
      </c>
      <c r="F1091" s="6">
        <v>0.0</v>
      </c>
      <c r="G1091" s="7">
        <v>5683320.0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>
      <c r="A1092" s="5" t="s">
        <v>12</v>
      </c>
      <c r="B1092" s="5" t="s">
        <v>13</v>
      </c>
      <c r="C1092" s="2" t="s">
        <v>872</v>
      </c>
      <c r="D1092" s="2" t="s">
        <v>88</v>
      </c>
      <c r="E1092" s="2" t="s">
        <v>96</v>
      </c>
      <c r="F1092" s="6">
        <v>5400000.0</v>
      </c>
      <c r="G1092" s="7">
        <v>2048134.0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>
      <c r="A1093" s="5" t="s">
        <v>12</v>
      </c>
      <c r="B1093" s="5" t="s">
        <v>13</v>
      </c>
      <c r="C1093" s="2" t="s">
        <v>873</v>
      </c>
      <c r="D1093" s="2" t="s">
        <v>83</v>
      </c>
      <c r="E1093" s="2" t="s">
        <v>49</v>
      </c>
      <c r="F1093" s="6">
        <v>1100000.0</v>
      </c>
      <c r="G1093" s="7">
        <v>957655.75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>
      <c r="A1094" s="5" t="s">
        <v>7</v>
      </c>
      <c r="B1094" s="5" t="s">
        <v>13</v>
      </c>
      <c r="C1094" s="2" t="s">
        <v>874</v>
      </c>
      <c r="D1094" s="2" t="s">
        <v>32</v>
      </c>
      <c r="E1094" s="2" t="s">
        <v>17</v>
      </c>
      <c r="F1094" s="6">
        <v>100000.0</v>
      </c>
      <c r="G1094" s="7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>
      <c r="A1095" s="5" t="s">
        <v>12</v>
      </c>
      <c r="B1095" s="5" t="s">
        <v>13</v>
      </c>
      <c r="C1095" s="2" t="s">
        <v>874</v>
      </c>
      <c r="D1095" s="2" t="s">
        <v>32</v>
      </c>
      <c r="E1095" s="2" t="s">
        <v>17</v>
      </c>
      <c r="F1095" s="6">
        <v>6350000.0</v>
      </c>
      <c r="G1095" s="7">
        <v>9919282.6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>
      <c r="A1096" s="5" t="s">
        <v>12</v>
      </c>
      <c r="B1096" s="5" t="s">
        <v>13</v>
      </c>
      <c r="C1096" s="2" t="s">
        <v>875</v>
      </c>
      <c r="D1096" s="2" t="s">
        <v>16</v>
      </c>
      <c r="E1096" s="2" t="s">
        <v>74</v>
      </c>
      <c r="F1096" s="6">
        <v>0.0</v>
      </c>
      <c r="G1096" s="7">
        <v>225000.0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>
      <c r="A1097" s="5" t="s">
        <v>12</v>
      </c>
      <c r="B1097" s="5" t="s">
        <v>13</v>
      </c>
      <c r="C1097" s="2" t="s">
        <v>876</v>
      </c>
      <c r="D1097" s="2" t="s">
        <v>16</v>
      </c>
      <c r="E1097" s="2" t="s">
        <v>14</v>
      </c>
      <c r="F1097" s="6">
        <v>0.0</v>
      </c>
      <c r="G1097" s="7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>
      <c r="A1098" s="5" t="s">
        <v>12</v>
      </c>
      <c r="B1098" s="5" t="s">
        <v>13</v>
      </c>
      <c r="C1098" s="2" t="s">
        <v>877</v>
      </c>
      <c r="D1098" s="2" t="s">
        <v>16</v>
      </c>
      <c r="E1098" s="2" t="s">
        <v>14</v>
      </c>
      <c r="F1098" s="6">
        <v>0.0</v>
      </c>
      <c r="G1098" s="7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>
      <c r="A1099" s="5" t="s">
        <v>12</v>
      </c>
      <c r="B1099" s="5" t="s">
        <v>13</v>
      </c>
      <c r="C1099" s="2" t="s">
        <v>878</v>
      </c>
      <c r="D1099" s="2" t="s">
        <v>16</v>
      </c>
      <c r="E1099" s="2" t="s">
        <v>14</v>
      </c>
      <c r="F1099" s="6">
        <v>0.0</v>
      </c>
      <c r="G1099" s="7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>
      <c r="A1100" s="5" t="s">
        <v>12</v>
      </c>
      <c r="B1100" s="5" t="s">
        <v>13</v>
      </c>
      <c r="C1100" s="2" t="s">
        <v>879</v>
      </c>
      <c r="D1100" s="2" t="s">
        <v>16</v>
      </c>
      <c r="E1100" s="2" t="s">
        <v>14</v>
      </c>
      <c r="F1100" s="6">
        <v>0.0</v>
      </c>
      <c r="G1100" s="7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>
      <c r="A1101" s="5" t="s">
        <v>12</v>
      </c>
      <c r="B1101" s="5" t="s">
        <v>13</v>
      </c>
      <c r="C1101" s="2" t="s">
        <v>880</v>
      </c>
      <c r="D1101" s="2" t="s">
        <v>16</v>
      </c>
      <c r="E1101" s="2" t="s">
        <v>14</v>
      </c>
      <c r="F1101" s="6">
        <v>0.0</v>
      </c>
      <c r="G1101" s="7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>
      <c r="A1102" s="5" t="s">
        <v>12</v>
      </c>
      <c r="B1102" s="5" t="s">
        <v>13</v>
      </c>
      <c r="C1102" s="2" t="s">
        <v>881</v>
      </c>
      <c r="D1102" s="2" t="s">
        <v>16</v>
      </c>
      <c r="E1102" s="2" t="s">
        <v>14</v>
      </c>
      <c r="F1102" s="6">
        <v>815000.0</v>
      </c>
      <c r="G1102" s="7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>
      <c r="A1103" s="5" t="s">
        <v>12</v>
      </c>
      <c r="B1103" s="5" t="s">
        <v>13</v>
      </c>
      <c r="C1103" s="2" t="s">
        <v>882</v>
      </c>
      <c r="D1103" s="2" t="s">
        <v>19</v>
      </c>
      <c r="E1103" s="2" t="s">
        <v>17</v>
      </c>
      <c r="F1103" s="6">
        <v>1500000.0</v>
      </c>
      <c r="G1103" s="7">
        <v>504804.0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>
      <c r="A1104" s="5" t="s">
        <v>12</v>
      </c>
      <c r="B1104" s="5" t="s">
        <v>13</v>
      </c>
      <c r="C1104" s="2" t="s">
        <v>883</v>
      </c>
      <c r="D1104" s="2" t="s">
        <v>16</v>
      </c>
      <c r="E1104" s="2" t="s">
        <v>14</v>
      </c>
      <c r="F1104" s="6">
        <v>0.0</v>
      </c>
      <c r="G1104" s="7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>
      <c r="A1105" s="5" t="s">
        <v>12</v>
      </c>
      <c r="B1105" s="5" t="s">
        <v>13</v>
      </c>
      <c r="C1105" s="2" t="s">
        <v>884</v>
      </c>
      <c r="D1105" s="2" t="s">
        <v>16</v>
      </c>
      <c r="E1105" s="2" t="s">
        <v>14</v>
      </c>
      <c r="F1105" s="6">
        <v>0.0</v>
      </c>
      <c r="G1105" s="7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>
      <c r="A1106" s="5" t="s">
        <v>12</v>
      </c>
      <c r="B1106" s="5" t="s">
        <v>13</v>
      </c>
      <c r="C1106" s="2" t="s">
        <v>885</v>
      </c>
      <c r="D1106" s="2" t="s">
        <v>16</v>
      </c>
      <c r="E1106" s="2" t="s">
        <v>11</v>
      </c>
      <c r="F1106" s="6">
        <v>175000.0</v>
      </c>
      <c r="G1106" s="7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>
      <c r="A1107" s="5" t="s">
        <v>12</v>
      </c>
      <c r="B1107" s="5" t="s">
        <v>13</v>
      </c>
      <c r="C1107" s="2" t="s">
        <v>886</v>
      </c>
      <c r="D1107" s="2" t="s">
        <v>16</v>
      </c>
      <c r="E1107" s="2" t="s">
        <v>14</v>
      </c>
      <c r="F1107" s="6">
        <v>0.0</v>
      </c>
      <c r="G1107" s="7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>
      <c r="A1108" s="5" t="s">
        <v>12</v>
      </c>
      <c r="B1108" s="5" t="s">
        <v>13</v>
      </c>
      <c r="C1108" s="2" t="s">
        <v>887</v>
      </c>
      <c r="D1108" s="2" t="s">
        <v>16</v>
      </c>
      <c r="E1108" s="2" t="s">
        <v>33</v>
      </c>
      <c r="F1108" s="6">
        <v>0.0</v>
      </c>
      <c r="G1108" s="7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>
      <c r="A1109" s="5" t="s">
        <v>7</v>
      </c>
      <c r="B1109" s="5" t="s">
        <v>13</v>
      </c>
      <c r="C1109" s="2" t="s">
        <v>888</v>
      </c>
      <c r="D1109" s="2" t="s">
        <v>32</v>
      </c>
      <c r="E1109" s="2" t="s">
        <v>23</v>
      </c>
      <c r="F1109" s="6">
        <v>2800000.0</v>
      </c>
      <c r="G1109" s="7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>
      <c r="A1110" s="5" t="s">
        <v>12</v>
      </c>
      <c r="B1110" s="5" t="s">
        <v>13</v>
      </c>
      <c r="C1110" s="2" t="s">
        <v>888</v>
      </c>
      <c r="D1110" s="2" t="s">
        <v>32</v>
      </c>
      <c r="E1110" s="2" t="s">
        <v>17</v>
      </c>
      <c r="F1110" s="6">
        <v>2800000.0</v>
      </c>
      <c r="G1110" s="7">
        <v>1899977.5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>
      <c r="A1111" s="5" t="s">
        <v>12</v>
      </c>
      <c r="B1111" s="5" t="s">
        <v>13</v>
      </c>
      <c r="C1111" s="2" t="s">
        <v>889</v>
      </c>
      <c r="D1111" s="2" t="s">
        <v>16</v>
      </c>
      <c r="E1111" s="2" t="s">
        <v>14</v>
      </c>
      <c r="F1111" s="6">
        <v>0.0</v>
      </c>
      <c r="G1111" s="7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>
      <c r="A1112" s="5" t="s">
        <v>12</v>
      </c>
      <c r="B1112" s="5" t="s">
        <v>13</v>
      </c>
      <c r="C1112" s="2" t="s">
        <v>890</v>
      </c>
      <c r="D1112" s="2" t="s">
        <v>16</v>
      </c>
      <c r="E1112" s="2" t="s">
        <v>49</v>
      </c>
      <c r="F1112" s="6">
        <v>193000.0</v>
      </c>
      <c r="G1112" s="7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>
      <c r="A1113" s="5" t="s">
        <v>12</v>
      </c>
      <c r="B1113" s="5" t="s">
        <v>13</v>
      </c>
      <c r="C1113" s="2" t="s">
        <v>891</v>
      </c>
      <c r="D1113" s="2" t="s">
        <v>16</v>
      </c>
      <c r="E1113" s="2" t="s">
        <v>14</v>
      </c>
      <c r="F1113" s="6">
        <v>0.0</v>
      </c>
      <c r="G1113" s="7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>
      <c r="A1114" s="5" t="s">
        <v>12</v>
      </c>
      <c r="B1114" s="5" t="s">
        <v>8</v>
      </c>
      <c r="C1114" s="2" t="s">
        <v>892</v>
      </c>
      <c r="D1114" s="2" t="s">
        <v>48</v>
      </c>
      <c r="E1114" s="2" t="s">
        <v>11</v>
      </c>
      <c r="F1114" s="6">
        <v>425000.0</v>
      </c>
      <c r="G1114" s="7">
        <v>385857.0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>
      <c r="A1115" s="5" t="s">
        <v>12</v>
      </c>
      <c r="B1115" s="5" t="s">
        <v>13</v>
      </c>
      <c r="C1115" s="2" t="s">
        <v>892</v>
      </c>
      <c r="D1115" s="2" t="s">
        <v>48</v>
      </c>
      <c r="E1115" s="2" t="s">
        <v>14</v>
      </c>
      <c r="F1115" s="6">
        <v>400000.0</v>
      </c>
      <c r="G1115" s="7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>
      <c r="A1116" s="5" t="s">
        <v>12</v>
      </c>
      <c r="B1116" s="5" t="s">
        <v>13</v>
      </c>
      <c r="C1116" s="2" t="s">
        <v>893</v>
      </c>
      <c r="D1116" s="2" t="s">
        <v>16</v>
      </c>
      <c r="E1116" s="2" t="s">
        <v>14</v>
      </c>
      <c r="F1116" s="6">
        <v>0.0</v>
      </c>
      <c r="G1116" s="7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>
      <c r="A1117" s="5" t="s">
        <v>12</v>
      </c>
      <c r="B1117" s="5" t="s">
        <v>13</v>
      </c>
      <c r="C1117" s="2" t="s">
        <v>894</v>
      </c>
      <c r="D1117" s="2" t="s">
        <v>16</v>
      </c>
      <c r="E1117" s="2" t="s">
        <v>14</v>
      </c>
      <c r="F1117" s="6">
        <v>0.0</v>
      </c>
      <c r="G1117" s="7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>
      <c r="A1118" s="5" t="s">
        <v>12</v>
      </c>
      <c r="B1118" s="5" t="s">
        <v>13</v>
      </c>
      <c r="C1118" s="2" t="s">
        <v>895</v>
      </c>
      <c r="D1118" s="2" t="s">
        <v>32</v>
      </c>
      <c r="E1118" s="2" t="s">
        <v>49</v>
      </c>
      <c r="F1118" s="6">
        <v>100000.0</v>
      </c>
      <c r="G1118" s="7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>
      <c r="A1119" s="5" t="s">
        <v>12</v>
      </c>
      <c r="B1119" s="5" t="s">
        <v>13</v>
      </c>
      <c r="C1119" s="2" t="s">
        <v>896</v>
      </c>
      <c r="D1119" s="2" t="s">
        <v>32</v>
      </c>
      <c r="E1119" s="2" t="s">
        <v>14</v>
      </c>
      <c r="F1119" s="6">
        <v>0.0</v>
      </c>
      <c r="G1119" s="7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>
      <c r="A1120" s="5" t="s">
        <v>12</v>
      </c>
      <c r="B1120" s="5" t="s">
        <v>13</v>
      </c>
      <c r="C1120" s="2" t="s">
        <v>897</v>
      </c>
      <c r="D1120" s="2" t="s">
        <v>16</v>
      </c>
      <c r="E1120" s="2" t="s">
        <v>14</v>
      </c>
      <c r="F1120" s="6">
        <v>0.0</v>
      </c>
      <c r="G1120" s="7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>
      <c r="A1121" s="5" t="s">
        <v>12</v>
      </c>
      <c r="B1121" s="5" t="s">
        <v>13</v>
      </c>
      <c r="C1121" s="2" t="s">
        <v>898</v>
      </c>
      <c r="D1121" s="2" t="s">
        <v>32</v>
      </c>
      <c r="E1121" s="2" t="s">
        <v>49</v>
      </c>
      <c r="F1121" s="6">
        <v>400000.0</v>
      </c>
      <c r="G1121" s="7">
        <v>111746.0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>
      <c r="A1122" s="5" t="s">
        <v>12</v>
      </c>
      <c r="B1122" s="5" t="s">
        <v>13</v>
      </c>
      <c r="C1122" s="2" t="s">
        <v>899</v>
      </c>
      <c r="D1122" s="2" t="s">
        <v>16</v>
      </c>
      <c r="E1122" s="2" t="s">
        <v>14</v>
      </c>
      <c r="F1122" s="6">
        <v>0.0</v>
      </c>
      <c r="G1122" s="7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>
      <c r="A1123" s="5" t="s">
        <v>12</v>
      </c>
      <c r="B1123" s="5" t="s">
        <v>13</v>
      </c>
      <c r="C1123" s="2" t="s">
        <v>900</v>
      </c>
      <c r="D1123" s="2" t="s">
        <v>16</v>
      </c>
      <c r="E1123" s="2" t="s">
        <v>14</v>
      </c>
      <c r="F1123" s="6">
        <v>0.0</v>
      </c>
      <c r="G1123" s="7">
        <v>0.0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>
      <c r="A1124" s="5" t="s">
        <v>12</v>
      </c>
      <c r="B1124" s="5" t="s">
        <v>13</v>
      </c>
      <c r="C1124" s="2" t="s">
        <v>901</v>
      </c>
      <c r="D1124" s="2" t="s">
        <v>16</v>
      </c>
      <c r="E1124" s="2" t="s">
        <v>14</v>
      </c>
      <c r="F1124" s="6">
        <v>537000.0</v>
      </c>
      <c r="G1124" s="7">
        <v>472.0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>
      <c r="A1125" s="5" t="s">
        <v>12</v>
      </c>
      <c r="B1125" s="5" t="s">
        <v>13</v>
      </c>
      <c r="C1125" s="2" t="s">
        <v>902</v>
      </c>
      <c r="D1125" s="2" t="s">
        <v>16</v>
      </c>
      <c r="E1125" s="2" t="s">
        <v>49</v>
      </c>
      <c r="F1125" s="6">
        <v>602000.0</v>
      </c>
      <c r="G1125" s="7">
        <v>976981.0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>
      <c r="A1126" s="5" t="s">
        <v>12</v>
      </c>
      <c r="B1126" s="5" t="s">
        <v>13</v>
      </c>
      <c r="C1126" s="2" t="s">
        <v>903</v>
      </c>
      <c r="D1126" s="2" t="s">
        <v>16</v>
      </c>
      <c r="E1126" s="2" t="s">
        <v>14</v>
      </c>
      <c r="F1126" s="6">
        <v>0.0</v>
      </c>
      <c r="G1126" s="7">
        <v>0.0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>
      <c r="A1127" s="5" t="s">
        <v>12</v>
      </c>
      <c r="B1127" s="5" t="s">
        <v>8</v>
      </c>
      <c r="C1127" s="2" t="s">
        <v>904</v>
      </c>
      <c r="D1127" s="2" t="s">
        <v>48</v>
      </c>
      <c r="E1127" s="2" t="s">
        <v>14</v>
      </c>
      <c r="F1127" s="6">
        <v>1000000.0</v>
      </c>
      <c r="G1127" s="7">
        <v>258774.0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>
      <c r="A1128" s="5" t="s">
        <v>12</v>
      </c>
      <c r="B1128" s="5" t="s">
        <v>13</v>
      </c>
      <c r="C1128" s="2" t="s">
        <v>905</v>
      </c>
      <c r="D1128" s="2" t="s">
        <v>37</v>
      </c>
      <c r="E1128" s="2" t="s">
        <v>14</v>
      </c>
      <c r="F1128" s="6">
        <v>1390000.0</v>
      </c>
      <c r="G1128" s="7">
        <v>2171200.0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>
      <c r="A1129" s="5" t="s">
        <v>12</v>
      </c>
      <c r="B1129" s="5" t="s">
        <v>13</v>
      </c>
      <c r="C1129" s="2" t="s">
        <v>906</v>
      </c>
      <c r="D1129" s="2" t="s">
        <v>16</v>
      </c>
      <c r="E1129" s="2" t="s">
        <v>14</v>
      </c>
      <c r="F1129" s="6">
        <v>0.0</v>
      </c>
      <c r="G1129" s="7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>
      <c r="A1130" s="5" t="s">
        <v>12</v>
      </c>
      <c r="B1130" s="5" t="s">
        <v>13</v>
      </c>
      <c r="C1130" s="2" t="s">
        <v>907</v>
      </c>
      <c r="D1130" s="2" t="s">
        <v>16</v>
      </c>
      <c r="E1130" s="2" t="s">
        <v>14</v>
      </c>
      <c r="F1130" s="6">
        <v>32000.0</v>
      </c>
      <c r="G1130" s="7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>
      <c r="A1131" s="5" t="s">
        <v>7</v>
      </c>
      <c r="B1131" s="5" t="s">
        <v>13</v>
      </c>
      <c r="C1131" s="2" t="s">
        <v>908</v>
      </c>
      <c r="D1131" s="2" t="s">
        <v>32</v>
      </c>
      <c r="E1131" s="2" t="s">
        <v>223</v>
      </c>
      <c r="F1131" s="6">
        <v>5700000.0</v>
      </c>
      <c r="G1131" s="7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>
      <c r="A1132" s="5" t="s">
        <v>12</v>
      </c>
      <c r="B1132" s="5" t="s">
        <v>13</v>
      </c>
      <c r="C1132" s="2" t="s">
        <v>908</v>
      </c>
      <c r="D1132" s="2" t="s">
        <v>32</v>
      </c>
      <c r="E1132" s="2" t="s">
        <v>96</v>
      </c>
      <c r="F1132" s="6">
        <v>5700000.0</v>
      </c>
      <c r="G1132" s="7">
        <v>6793455.0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>
      <c r="A1133" s="5" t="s">
        <v>12</v>
      </c>
      <c r="B1133" s="5" t="s">
        <v>13</v>
      </c>
      <c r="C1133" s="2" t="s">
        <v>909</v>
      </c>
      <c r="D1133" s="2" t="s">
        <v>32</v>
      </c>
      <c r="E1133" s="2" t="s">
        <v>33</v>
      </c>
      <c r="F1133" s="6">
        <v>0.0</v>
      </c>
      <c r="G1133" s="7">
        <v>3500000.0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>
      <c r="A1134" s="5" t="s">
        <v>12</v>
      </c>
      <c r="B1134" s="5" t="s">
        <v>13</v>
      </c>
      <c r="C1134" s="2" t="s">
        <v>910</v>
      </c>
      <c r="D1134" s="2" t="s">
        <v>16</v>
      </c>
      <c r="E1134" s="2" t="s">
        <v>14</v>
      </c>
      <c r="F1134" s="6">
        <v>0.0</v>
      </c>
      <c r="G1134" s="7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>
      <c r="A1135" s="5" t="s">
        <v>7</v>
      </c>
      <c r="B1135" s="5" t="s">
        <v>13</v>
      </c>
      <c r="C1135" s="2" t="s">
        <v>911</v>
      </c>
      <c r="D1135" s="2" t="s">
        <v>88</v>
      </c>
      <c r="E1135" s="2" t="s">
        <v>23</v>
      </c>
      <c r="F1135" s="6">
        <v>2300000.0</v>
      </c>
      <c r="G1135" s="7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>
      <c r="A1136" s="5" t="s">
        <v>12</v>
      </c>
      <c r="B1136" s="5" t="s">
        <v>13</v>
      </c>
      <c r="C1136" s="2" t="s">
        <v>911</v>
      </c>
      <c r="D1136" s="2" t="s">
        <v>88</v>
      </c>
      <c r="E1136" s="2" t="s">
        <v>17</v>
      </c>
      <c r="F1136" s="6">
        <v>2340000.0</v>
      </c>
      <c r="G1136" s="7">
        <v>372635.0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>
      <c r="A1137" s="5" t="s">
        <v>12</v>
      </c>
      <c r="B1137" s="5" t="s">
        <v>13</v>
      </c>
      <c r="C1137" s="2" t="s">
        <v>912</v>
      </c>
      <c r="D1137" s="2" t="s">
        <v>88</v>
      </c>
      <c r="E1137" s="2" t="s">
        <v>14</v>
      </c>
      <c r="F1137" s="6">
        <v>0.0</v>
      </c>
      <c r="G1137" s="7">
        <v>3524000.0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>
      <c r="A1138" s="5" t="s">
        <v>12</v>
      </c>
      <c r="B1138" s="5" t="s">
        <v>8</v>
      </c>
      <c r="C1138" s="2" t="s">
        <v>913</v>
      </c>
      <c r="D1138" s="2" t="s">
        <v>10</v>
      </c>
      <c r="E1138" s="2" t="s">
        <v>49</v>
      </c>
      <c r="F1138" s="6">
        <v>90000.0</v>
      </c>
      <c r="G1138" s="7">
        <v>87296.0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>
      <c r="A1139" s="5" t="s">
        <v>12</v>
      </c>
      <c r="B1139" s="5" t="s">
        <v>13</v>
      </c>
      <c r="C1139" s="2" t="s">
        <v>914</v>
      </c>
      <c r="D1139" s="2" t="s">
        <v>16</v>
      </c>
      <c r="E1139" s="2" t="s">
        <v>14</v>
      </c>
      <c r="F1139" s="6">
        <v>0.0</v>
      </c>
      <c r="G1139" s="7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>
      <c r="A1140" s="5" t="s">
        <v>7</v>
      </c>
      <c r="B1140" s="5" t="s">
        <v>8</v>
      </c>
      <c r="C1140" s="2" t="s">
        <v>915</v>
      </c>
      <c r="D1140" s="2" t="s">
        <v>48</v>
      </c>
      <c r="E1140" s="2" t="s">
        <v>11</v>
      </c>
      <c r="F1140" s="6">
        <v>300000.0</v>
      </c>
      <c r="G1140" s="7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>
      <c r="A1141" s="5" t="s">
        <v>12</v>
      </c>
      <c r="B1141" s="5" t="s">
        <v>8</v>
      </c>
      <c r="C1141" s="2" t="s">
        <v>915</v>
      </c>
      <c r="D1141" s="2" t="s">
        <v>48</v>
      </c>
      <c r="E1141" s="2" t="s">
        <v>11</v>
      </c>
      <c r="F1141" s="6">
        <v>2200000.0</v>
      </c>
      <c r="G1141" s="7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>
      <c r="A1142" s="5" t="s">
        <v>12</v>
      </c>
      <c r="B1142" s="5" t="s">
        <v>13</v>
      </c>
      <c r="C1142" s="2" t="s">
        <v>916</v>
      </c>
      <c r="D1142" s="2" t="s">
        <v>48</v>
      </c>
      <c r="E1142" s="2" t="s">
        <v>14</v>
      </c>
      <c r="F1142" s="6">
        <v>3600000.0</v>
      </c>
      <c r="G1142" s="7">
        <v>6750000.0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>
      <c r="A1143" s="5" t="s">
        <v>12</v>
      </c>
      <c r="B1143" s="5" t="s">
        <v>13</v>
      </c>
      <c r="C1143" s="2" t="s">
        <v>917</v>
      </c>
      <c r="D1143" s="2" t="s">
        <v>16</v>
      </c>
      <c r="E1143" s="2" t="s">
        <v>14</v>
      </c>
      <c r="F1143" s="6">
        <v>0.0</v>
      </c>
      <c r="G1143" s="7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>
      <c r="A1144" s="5" t="s">
        <v>7</v>
      </c>
      <c r="B1144" s="5" t="s">
        <v>13</v>
      </c>
      <c r="C1144" s="2" t="s">
        <v>918</v>
      </c>
      <c r="D1144" s="2" t="s">
        <v>88</v>
      </c>
      <c r="E1144" s="2" t="s">
        <v>919</v>
      </c>
      <c r="F1144" s="6">
        <v>3650000.0</v>
      </c>
      <c r="G1144" s="7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>
      <c r="A1145" s="5" t="s">
        <v>12</v>
      </c>
      <c r="B1145" s="5" t="s">
        <v>13</v>
      </c>
      <c r="C1145" s="2" t="s">
        <v>918</v>
      </c>
      <c r="D1145" s="2" t="s">
        <v>88</v>
      </c>
      <c r="E1145" s="2" t="s">
        <v>920</v>
      </c>
      <c r="F1145" s="6">
        <v>3650000.0</v>
      </c>
      <c r="G1145" s="7">
        <v>1713281.0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>
      <c r="A1146" s="5" t="s">
        <v>12</v>
      </c>
      <c r="B1146" s="5" t="s">
        <v>13</v>
      </c>
      <c r="C1146" s="2" t="s">
        <v>921</v>
      </c>
      <c r="D1146" s="2" t="s">
        <v>16</v>
      </c>
      <c r="E1146" s="2" t="s">
        <v>14</v>
      </c>
      <c r="F1146" s="6">
        <v>0.0</v>
      </c>
      <c r="G1146" s="7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>
      <c r="A1147" s="5" t="s">
        <v>12</v>
      </c>
      <c r="B1147" s="5" t="s">
        <v>8</v>
      </c>
      <c r="C1147" s="2" t="s">
        <v>922</v>
      </c>
      <c r="D1147" s="2" t="s">
        <v>48</v>
      </c>
      <c r="E1147" s="2" t="s">
        <v>49</v>
      </c>
      <c r="F1147" s="6">
        <v>1000000.0</v>
      </c>
      <c r="G1147" s="7">
        <v>301195.0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>
      <c r="A1148" s="5" t="s">
        <v>12</v>
      </c>
      <c r="B1148" s="5" t="s">
        <v>13</v>
      </c>
      <c r="C1148" s="2" t="s">
        <v>922</v>
      </c>
      <c r="D1148" s="2" t="s">
        <v>48</v>
      </c>
      <c r="E1148" s="2" t="s">
        <v>33</v>
      </c>
      <c r="F1148" s="6">
        <v>1500000.0</v>
      </c>
      <c r="G1148" s="7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>
      <c r="A1149" s="5" t="s">
        <v>7</v>
      </c>
      <c r="B1149" s="5" t="s">
        <v>13</v>
      </c>
      <c r="C1149" s="2" t="s">
        <v>923</v>
      </c>
      <c r="D1149" s="2" t="s">
        <v>32</v>
      </c>
      <c r="E1149" s="2" t="s">
        <v>89</v>
      </c>
      <c r="F1149" s="6">
        <v>3000000.0</v>
      </c>
      <c r="G1149" s="7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>
      <c r="A1150" s="5" t="s">
        <v>12</v>
      </c>
      <c r="B1150" s="5" t="s">
        <v>13</v>
      </c>
      <c r="C1150" s="2" t="s">
        <v>923</v>
      </c>
      <c r="D1150" s="2" t="s">
        <v>32</v>
      </c>
      <c r="E1150" s="2" t="s">
        <v>55</v>
      </c>
      <c r="F1150" s="6">
        <v>3000000.0</v>
      </c>
      <c r="G1150" s="7">
        <v>590420.0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>
      <c r="A1151" s="5" t="s">
        <v>12</v>
      </c>
      <c r="B1151" s="5" t="s">
        <v>13</v>
      </c>
      <c r="C1151" s="2" t="s">
        <v>924</v>
      </c>
      <c r="D1151" s="2" t="s">
        <v>16</v>
      </c>
      <c r="E1151" s="2" t="s">
        <v>14</v>
      </c>
      <c r="F1151" s="6">
        <v>0.0</v>
      </c>
      <c r="G1151" s="7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>
      <c r="A1152" s="5" t="s">
        <v>7</v>
      </c>
      <c r="B1152" s="5" t="s">
        <v>8</v>
      </c>
      <c r="C1152" s="2" t="s">
        <v>925</v>
      </c>
      <c r="D1152" s="2" t="s">
        <v>10</v>
      </c>
      <c r="E1152" s="2" t="s">
        <v>49</v>
      </c>
      <c r="F1152" s="6">
        <v>165000.0</v>
      </c>
      <c r="G1152" s="7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>
      <c r="A1153" s="5" t="s">
        <v>12</v>
      </c>
      <c r="B1153" s="5" t="s">
        <v>13</v>
      </c>
      <c r="C1153" s="2" t="s">
        <v>925</v>
      </c>
      <c r="D1153" s="2" t="s">
        <v>10</v>
      </c>
      <c r="E1153" s="2" t="s">
        <v>14</v>
      </c>
      <c r="F1153" s="6">
        <v>203000.0</v>
      </c>
      <c r="G1153" s="7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>
      <c r="A1154" s="5" t="s">
        <v>12</v>
      </c>
      <c r="B1154" s="5" t="s">
        <v>8</v>
      </c>
      <c r="C1154" s="2" t="s">
        <v>925</v>
      </c>
      <c r="D1154" s="2" t="s">
        <v>10</v>
      </c>
      <c r="E1154" s="2" t="s">
        <v>49</v>
      </c>
      <c r="F1154" s="6">
        <v>203242.0</v>
      </c>
      <c r="G1154" s="7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>
      <c r="A1155" s="5" t="s">
        <v>12</v>
      </c>
      <c r="B1155" s="5" t="s">
        <v>8</v>
      </c>
      <c r="C1155" s="2" t="s">
        <v>926</v>
      </c>
      <c r="D1155" s="2" t="s">
        <v>16</v>
      </c>
      <c r="E1155" s="2" t="s">
        <v>14</v>
      </c>
      <c r="F1155" s="6">
        <v>203242.0</v>
      </c>
      <c r="G1155" s="7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>
      <c r="A1156" s="5" t="s">
        <v>12</v>
      </c>
      <c r="B1156" s="5" t="s">
        <v>13</v>
      </c>
      <c r="C1156" s="2" t="s">
        <v>927</v>
      </c>
      <c r="D1156" s="2" t="s">
        <v>16</v>
      </c>
      <c r="E1156" s="2" t="s">
        <v>14</v>
      </c>
      <c r="F1156" s="6">
        <v>0.0</v>
      </c>
      <c r="G1156" s="7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>
      <c r="A1157" s="5" t="s">
        <v>7</v>
      </c>
      <c r="B1157" s="5" t="s">
        <v>8</v>
      </c>
      <c r="C1157" s="2" t="s">
        <v>928</v>
      </c>
      <c r="D1157" s="2" t="s">
        <v>16</v>
      </c>
      <c r="E1157" s="2" t="s">
        <v>14</v>
      </c>
      <c r="F1157" s="6">
        <v>0.0</v>
      </c>
      <c r="G1157" s="7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>
      <c r="A1158" s="5" t="s">
        <v>7</v>
      </c>
      <c r="B1158" s="5" t="s">
        <v>13</v>
      </c>
      <c r="C1158" s="2" t="s">
        <v>928</v>
      </c>
      <c r="D1158" s="2" t="s">
        <v>16</v>
      </c>
      <c r="E1158" s="2" t="s">
        <v>14</v>
      </c>
      <c r="F1158" s="6">
        <v>0.0</v>
      </c>
      <c r="G1158" s="7">
        <v>0.0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>
      <c r="A1159" s="5" t="s">
        <v>12</v>
      </c>
      <c r="B1159" s="5" t="s">
        <v>8</v>
      </c>
      <c r="C1159" s="2" t="s">
        <v>928</v>
      </c>
      <c r="D1159" s="2" t="s">
        <v>16</v>
      </c>
      <c r="E1159" s="2" t="s">
        <v>49</v>
      </c>
      <c r="F1159" s="6">
        <v>250000.0</v>
      </c>
      <c r="G1159" s="7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>
      <c r="A1160" s="5" t="s">
        <v>12</v>
      </c>
      <c r="B1160" s="5" t="s">
        <v>13</v>
      </c>
      <c r="C1160" s="2" t="s">
        <v>929</v>
      </c>
      <c r="D1160" s="2" t="s">
        <v>16</v>
      </c>
      <c r="E1160" s="2" t="s">
        <v>14</v>
      </c>
      <c r="F1160" s="6">
        <v>0.0</v>
      </c>
      <c r="G1160" s="7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>
      <c r="A1161" s="5" t="s">
        <v>7</v>
      </c>
      <c r="B1161" s="5" t="s">
        <v>13</v>
      </c>
      <c r="C1161" s="2" t="s">
        <v>930</v>
      </c>
      <c r="D1161" s="2" t="s">
        <v>26</v>
      </c>
      <c r="E1161" s="2" t="s">
        <v>49</v>
      </c>
      <c r="F1161" s="6">
        <v>100000.0</v>
      </c>
      <c r="G1161" s="7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>
      <c r="A1162" s="5" t="s">
        <v>12</v>
      </c>
      <c r="B1162" s="5" t="s">
        <v>13</v>
      </c>
      <c r="C1162" s="2" t="s">
        <v>930</v>
      </c>
      <c r="D1162" s="2" t="s">
        <v>26</v>
      </c>
      <c r="E1162" s="2" t="s">
        <v>49</v>
      </c>
      <c r="F1162" s="6">
        <v>160000.0</v>
      </c>
      <c r="G1162" s="7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>
      <c r="A1163" s="5" t="s">
        <v>12</v>
      </c>
      <c r="B1163" s="5" t="s">
        <v>13</v>
      </c>
      <c r="C1163" s="2" t="s">
        <v>931</v>
      </c>
      <c r="D1163" s="2" t="s">
        <v>26</v>
      </c>
      <c r="E1163" s="2" t="s">
        <v>49</v>
      </c>
      <c r="F1163" s="6">
        <v>0.0</v>
      </c>
      <c r="G1163" s="7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>
      <c r="A1164" s="5" t="s">
        <v>12</v>
      </c>
      <c r="B1164" s="5" t="s">
        <v>13</v>
      </c>
      <c r="C1164" s="2" t="s">
        <v>932</v>
      </c>
      <c r="D1164" s="2" t="s">
        <v>16</v>
      </c>
      <c r="E1164" s="2" t="s">
        <v>84</v>
      </c>
      <c r="F1164" s="6">
        <v>0.0</v>
      </c>
      <c r="G1164" s="7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>
      <c r="A1165" s="5" t="s">
        <v>12</v>
      </c>
      <c r="B1165" s="5" t="s">
        <v>13</v>
      </c>
      <c r="C1165" s="2" t="s">
        <v>933</v>
      </c>
      <c r="D1165" s="2" t="s">
        <v>419</v>
      </c>
      <c r="E1165" s="2" t="s">
        <v>33</v>
      </c>
      <c r="F1165" s="6">
        <v>200000.0</v>
      </c>
      <c r="G1165" s="7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>
      <c r="A1166" s="5" t="s">
        <v>12</v>
      </c>
      <c r="B1166" s="5" t="s">
        <v>13</v>
      </c>
      <c r="C1166" s="2" t="s">
        <v>934</v>
      </c>
      <c r="D1166" s="2" t="s">
        <v>16</v>
      </c>
      <c r="E1166" s="2" t="s">
        <v>49</v>
      </c>
      <c r="F1166" s="6">
        <v>0.0</v>
      </c>
      <c r="G1166" s="7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>
      <c r="A1167" s="5" t="s">
        <v>12</v>
      </c>
      <c r="B1167" s="5" t="s">
        <v>13</v>
      </c>
      <c r="C1167" s="2" t="s">
        <v>935</v>
      </c>
      <c r="D1167" s="2" t="s">
        <v>16</v>
      </c>
      <c r="E1167" s="2" t="s">
        <v>14</v>
      </c>
      <c r="F1167" s="6">
        <v>0.0</v>
      </c>
      <c r="G1167" s="7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>
      <c r="A1168" s="5" t="s">
        <v>12</v>
      </c>
      <c r="B1168" s="5" t="s">
        <v>13</v>
      </c>
      <c r="C1168" s="2" t="s">
        <v>936</v>
      </c>
      <c r="D1168" s="2" t="s">
        <v>32</v>
      </c>
      <c r="E1168" s="2" t="s">
        <v>14</v>
      </c>
      <c r="F1168" s="6">
        <v>175000.0</v>
      </c>
      <c r="G1168" s="7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>
      <c r="A1169" s="5" t="s">
        <v>12</v>
      </c>
      <c r="B1169" s="5" t="s">
        <v>13</v>
      </c>
      <c r="C1169" s="2" t="s">
        <v>937</v>
      </c>
      <c r="D1169" s="2" t="s">
        <v>32</v>
      </c>
      <c r="E1169" s="2" t="s">
        <v>14</v>
      </c>
      <c r="F1169" s="6">
        <v>0.0</v>
      </c>
      <c r="G1169" s="7">
        <v>1411000.0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>
      <c r="A1170" s="5" t="s">
        <v>12</v>
      </c>
      <c r="B1170" s="5" t="s">
        <v>13</v>
      </c>
      <c r="C1170" s="2" t="s">
        <v>938</v>
      </c>
      <c r="D1170" s="2" t="s">
        <v>16</v>
      </c>
      <c r="E1170" s="2" t="s">
        <v>14</v>
      </c>
      <c r="F1170" s="6">
        <v>0.0</v>
      </c>
      <c r="G1170" s="7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>
      <c r="A1171" s="5" t="s">
        <v>12</v>
      </c>
      <c r="B1171" s="5" t="s">
        <v>13</v>
      </c>
      <c r="C1171" s="2" t="s">
        <v>939</v>
      </c>
      <c r="D1171" s="2" t="s">
        <v>16</v>
      </c>
      <c r="E1171" s="2" t="s">
        <v>49</v>
      </c>
      <c r="F1171" s="6">
        <v>0.0</v>
      </c>
      <c r="G1171" s="7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>
      <c r="A1172" s="5" t="s">
        <v>12</v>
      </c>
      <c r="B1172" s="5" t="s">
        <v>13</v>
      </c>
      <c r="C1172" s="2" t="s">
        <v>940</v>
      </c>
      <c r="D1172" s="2" t="s">
        <v>16</v>
      </c>
      <c r="E1172" s="2" t="s">
        <v>14</v>
      </c>
      <c r="F1172" s="6">
        <v>0.0</v>
      </c>
      <c r="G1172" s="7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>
      <c r="A1173" s="5" t="s">
        <v>12</v>
      </c>
      <c r="B1173" s="5" t="s">
        <v>8</v>
      </c>
      <c r="C1173" s="2" t="s">
        <v>941</v>
      </c>
      <c r="D1173" s="2" t="s">
        <v>16</v>
      </c>
      <c r="E1173" s="2" t="s">
        <v>14</v>
      </c>
      <c r="F1173" s="6">
        <v>118788.0</v>
      </c>
      <c r="G1173" s="7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>
      <c r="A1174" s="5" t="s">
        <v>12</v>
      </c>
      <c r="B1174" s="5" t="s">
        <v>13</v>
      </c>
      <c r="C1174" s="2" t="s">
        <v>942</v>
      </c>
      <c r="D1174" s="2" t="s">
        <v>16</v>
      </c>
      <c r="E1174" s="2" t="s">
        <v>14</v>
      </c>
      <c r="F1174" s="6">
        <v>39000.0</v>
      </c>
      <c r="G1174" s="7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>
      <c r="A1175" s="5" t="s">
        <v>12</v>
      </c>
      <c r="B1175" s="5" t="s">
        <v>13</v>
      </c>
      <c r="C1175" s="2" t="s">
        <v>943</v>
      </c>
      <c r="D1175" s="2" t="s">
        <v>26</v>
      </c>
      <c r="E1175" s="2" t="s">
        <v>96</v>
      </c>
      <c r="F1175" s="6">
        <v>1000000.0</v>
      </c>
      <c r="G1175" s="7">
        <v>469935.0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>
      <c r="A1176" s="5" t="s">
        <v>12</v>
      </c>
      <c r="B1176" s="5" t="s">
        <v>13</v>
      </c>
      <c r="C1176" s="2" t="s">
        <v>944</v>
      </c>
      <c r="D1176" s="2" t="s">
        <v>16</v>
      </c>
      <c r="E1176" s="2" t="s">
        <v>14</v>
      </c>
      <c r="F1176" s="6">
        <v>0.0</v>
      </c>
      <c r="G1176" s="7">
        <v>1431666.0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>
      <c r="A1177" s="5" t="s">
        <v>12</v>
      </c>
      <c r="B1177" s="5" t="s">
        <v>13</v>
      </c>
      <c r="C1177" s="2" t="s">
        <v>945</v>
      </c>
      <c r="D1177" s="2" t="s">
        <v>16</v>
      </c>
      <c r="E1177" s="2" t="s">
        <v>14</v>
      </c>
      <c r="F1177" s="6">
        <v>0.0</v>
      </c>
      <c r="G1177" s="7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>
      <c r="A1178" s="5" t="s">
        <v>12</v>
      </c>
      <c r="B1178" s="5" t="s">
        <v>13</v>
      </c>
      <c r="C1178" s="2" t="s">
        <v>946</v>
      </c>
      <c r="D1178" s="2" t="s">
        <v>16</v>
      </c>
      <c r="E1178" s="2" t="s">
        <v>17</v>
      </c>
      <c r="F1178" s="6">
        <v>0.0</v>
      </c>
      <c r="G1178" s="7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>
      <c r="A1179" s="5" t="s">
        <v>12</v>
      </c>
      <c r="B1179" s="5" t="s">
        <v>13</v>
      </c>
      <c r="C1179" s="2" t="s">
        <v>947</v>
      </c>
      <c r="D1179" s="2" t="s">
        <v>16</v>
      </c>
      <c r="E1179" s="2" t="s">
        <v>14</v>
      </c>
      <c r="F1179" s="6">
        <v>8000.0</v>
      </c>
      <c r="G1179" s="7">
        <v>708.0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>
      <c r="A1180" s="5" t="s">
        <v>12</v>
      </c>
      <c r="B1180" s="5" t="s">
        <v>13</v>
      </c>
      <c r="C1180" s="2" t="s">
        <v>948</v>
      </c>
      <c r="D1180" s="2" t="s">
        <v>16</v>
      </c>
      <c r="E1180" s="2" t="s">
        <v>14</v>
      </c>
      <c r="F1180" s="6">
        <v>0.0</v>
      </c>
      <c r="G1180" s="7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>
      <c r="A1181" s="5" t="s">
        <v>7</v>
      </c>
      <c r="B1181" s="5" t="s">
        <v>13</v>
      </c>
      <c r="C1181" s="2" t="s">
        <v>949</v>
      </c>
      <c r="D1181" s="2" t="s">
        <v>83</v>
      </c>
      <c r="E1181" s="2" t="s">
        <v>950</v>
      </c>
      <c r="F1181" s="6">
        <v>1900000.0</v>
      </c>
      <c r="G1181" s="7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>
      <c r="A1182" s="5" t="s">
        <v>12</v>
      </c>
      <c r="B1182" s="5" t="s">
        <v>13</v>
      </c>
      <c r="C1182" s="2" t="s">
        <v>949</v>
      </c>
      <c r="D1182" s="2" t="s">
        <v>83</v>
      </c>
      <c r="E1182" s="2" t="s">
        <v>951</v>
      </c>
      <c r="F1182" s="6">
        <v>1900000.0</v>
      </c>
      <c r="G1182" s="7">
        <v>1102010.0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>
      <c r="A1183" s="5" t="s">
        <v>12</v>
      </c>
      <c r="B1183" s="5" t="s">
        <v>13</v>
      </c>
      <c r="C1183" s="2" t="s">
        <v>952</v>
      </c>
      <c r="D1183" s="2" t="s">
        <v>16</v>
      </c>
      <c r="E1183" s="2" t="s">
        <v>14</v>
      </c>
      <c r="F1183" s="6">
        <v>0.0</v>
      </c>
      <c r="G1183" s="7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>
      <c r="A1184" s="5" t="s">
        <v>7</v>
      </c>
      <c r="B1184" s="5" t="s">
        <v>8</v>
      </c>
      <c r="C1184" s="2" t="s">
        <v>953</v>
      </c>
      <c r="D1184" s="2" t="s">
        <v>10</v>
      </c>
      <c r="E1184" s="2" t="s">
        <v>49</v>
      </c>
      <c r="F1184" s="6">
        <v>100000.0</v>
      </c>
      <c r="G1184" s="7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>
      <c r="A1185" s="5" t="s">
        <v>12</v>
      </c>
      <c r="B1185" s="5" t="s">
        <v>8</v>
      </c>
      <c r="C1185" s="2" t="s">
        <v>953</v>
      </c>
      <c r="D1185" s="2" t="s">
        <v>10</v>
      </c>
      <c r="E1185" s="2" t="s">
        <v>49</v>
      </c>
      <c r="F1185" s="6">
        <v>100000.0</v>
      </c>
      <c r="G1185" s="7">
        <v>71980.0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>
      <c r="A1186" s="5" t="s">
        <v>12</v>
      </c>
      <c r="B1186" s="5" t="s">
        <v>13</v>
      </c>
      <c r="C1186" s="2" t="s">
        <v>953</v>
      </c>
      <c r="D1186" s="2" t="s">
        <v>10</v>
      </c>
      <c r="E1186" s="2" t="s">
        <v>14</v>
      </c>
      <c r="F1186" s="6">
        <v>100000.0</v>
      </c>
      <c r="G1186" s="7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>
      <c r="A1187" s="5" t="s">
        <v>12</v>
      </c>
      <c r="B1187" s="5" t="s">
        <v>13</v>
      </c>
      <c r="C1187" s="2" t="s">
        <v>954</v>
      </c>
      <c r="D1187" s="2" t="s">
        <v>16</v>
      </c>
      <c r="E1187" s="2" t="s">
        <v>14</v>
      </c>
      <c r="F1187" s="6">
        <v>0.0</v>
      </c>
      <c r="G1187" s="7">
        <v>0.0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>
      <c r="A1188" s="5" t="s">
        <v>12</v>
      </c>
      <c r="B1188" s="5" t="s">
        <v>13</v>
      </c>
      <c r="C1188" s="2" t="s">
        <v>955</v>
      </c>
      <c r="D1188" s="2" t="s">
        <v>88</v>
      </c>
      <c r="E1188" s="2" t="s">
        <v>33</v>
      </c>
      <c r="F1188" s="6">
        <v>500000.0</v>
      </c>
      <c r="G1188" s="7">
        <v>122258.0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>
      <c r="A1189" s="5" t="s">
        <v>12</v>
      </c>
      <c r="B1189" s="5" t="s">
        <v>13</v>
      </c>
      <c r="C1189" s="2" t="s">
        <v>956</v>
      </c>
      <c r="D1189" s="2" t="s">
        <v>16</v>
      </c>
      <c r="E1189" s="2" t="s">
        <v>14</v>
      </c>
      <c r="F1189" s="6">
        <v>0.0</v>
      </c>
      <c r="G1189" s="7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>
      <c r="A1190" s="5" t="s">
        <v>12</v>
      </c>
      <c r="B1190" s="5" t="s">
        <v>13</v>
      </c>
      <c r="C1190" s="2" t="s">
        <v>957</v>
      </c>
      <c r="D1190" s="2" t="s">
        <v>115</v>
      </c>
      <c r="E1190" s="2" t="s">
        <v>49</v>
      </c>
      <c r="F1190" s="6">
        <v>500000.0</v>
      </c>
      <c r="G1190" s="7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>
      <c r="A1191" s="5" t="s">
        <v>7</v>
      </c>
      <c r="B1191" s="5" t="s">
        <v>13</v>
      </c>
      <c r="C1191" s="2" t="s">
        <v>958</v>
      </c>
      <c r="D1191" s="2" t="s">
        <v>16</v>
      </c>
      <c r="E1191" s="2" t="s">
        <v>144</v>
      </c>
      <c r="F1191" s="6">
        <v>1200000.0</v>
      </c>
      <c r="G1191" s="7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>
      <c r="A1192" s="5" t="s">
        <v>12</v>
      </c>
      <c r="B1192" s="5" t="s">
        <v>13</v>
      </c>
      <c r="C1192" s="2" t="s">
        <v>959</v>
      </c>
      <c r="D1192" s="2" t="s">
        <v>32</v>
      </c>
      <c r="E1192" s="2" t="s">
        <v>49</v>
      </c>
      <c r="F1192" s="6">
        <v>1000000.0</v>
      </c>
      <c r="G1192" s="7">
        <v>473298.0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>
      <c r="A1193" s="5" t="s">
        <v>12</v>
      </c>
      <c r="B1193" s="5" t="s">
        <v>13</v>
      </c>
      <c r="C1193" s="2" t="s">
        <v>960</v>
      </c>
      <c r="D1193" s="2" t="s">
        <v>19</v>
      </c>
      <c r="E1193" s="2" t="s">
        <v>14</v>
      </c>
      <c r="F1193" s="6">
        <v>1446371.0</v>
      </c>
      <c r="G1193" s="7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>
      <c r="A1194" s="5" t="s">
        <v>7</v>
      </c>
      <c r="B1194" s="5" t="s">
        <v>13</v>
      </c>
      <c r="C1194" s="2" t="s">
        <v>961</v>
      </c>
      <c r="D1194" s="2" t="s">
        <v>88</v>
      </c>
      <c r="E1194" s="2" t="s">
        <v>223</v>
      </c>
      <c r="F1194" s="6">
        <v>1000000.0</v>
      </c>
      <c r="G1194" s="7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>
      <c r="A1195" s="5" t="s">
        <v>12</v>
      </c>
      <c r="B1195" s="5" t="s">
        <v>13</v>
      </c>
      <c r="C1195" s="2" t="s">
        <v>961</v>
      </c>
      <c r="D1195" s="2" t="s">
        <v>88</v>
      </c>
      <c r="E1195" s="2" t="s">
        <v>96</v>
      </c>
      <c r="F1195" s="6">
        <v>1000000.0</v>
      </c>
      <c r="G1195" s="7">
        <v>199538.0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>
      <c r="A1196" s="5" t="s">
        <v>12</v>
      </c>
      <c r="B1196" s="5" t="s">
        <v>8</v>
      </c>
      <c r="C1196" s="2" t="s">
        <v>962</v>
      </c>
      <c r="D1196" s="2" t="s">
        <v>16</v>
      </c>
      <c r="E1196" s="2" t="s">
        <v>14</v>
      </c>
      <c r="F1196" s="6">
        <v>10000.0</v>
      </c>
      <c r="G1196" s="7">
        <v>-140.0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>
      <c r="A1197" s="5" t="s">
        <v>12</v>
      </c>
      <c r="B1197" s="5" t="s">
        <v>13</v>
      </c>
      <c r="C1197" s="2" t="s">
        <v>962</v>
      </c>
      <c r="D1197" s="2" t="s">
        <v>16</v>
      </c>
      <c r="E1197" s="2" t="s">
        <v>14</v>
      </c>
      <c r="F1197" s="6">
        <v>240000.0</v>
      </c>
      <c r="G1197" s="7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>
      <c r="A1198" s="5" t="s">
        <v>12</v>
      </c>
      <c r="B1198" s="5" t="s">
        <v>13</v>
      </c>
      <c r="C1198" s="2" t="s">
        <v>963</v>
      </c>
      <c r="D1198" s="2" t="s">
        <v>16</v>
      </c>
      <c r="E1198" s="2" t="s">
        <v>14</v>
      </c>
      <c r="F1198" s="6">
        <v>0.0</v>
      </c>
      <c r="G1198" s="7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>
      <c r="A1199" s="5" t="s">
        <v>12</v>
      </c>
      <c r="B1199" s="5" t="s">
        <v>13</v>
      </c>
      <c r="C1199" s="2" t="s">
        <v>964</v>
      </c>
      <c r="D1199" s="2" t="s">
        <v>16</v>
      </c>
      <c r="E1199" s="2" t="s">
        <v>49</v>
      </c>
      <c r="F1199" s="6">
        <v>0.0</v>
      </c>
      <c r="G1199" s="7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>
      <c r="A1200" s="5" t="s">
        <v>7</v>
      </c>
      <c r="B1200" s="5" t="s">
        <v>13</v>
      </c>
      <c r="C1200" s="2" t="s">
        <v>965</v>
      </c>
      <c r="D1200" s="2" t="s">
        <v>48</v>
      </c>
      <c r="E1200" s="2" t="s">
        <v>14</v>
      </c>
      <c r="F1200" s="6">
        <v>0.0</v>
      </c>
      <c r="G1200" s="7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>
      <c r="A1201" s="5" t="s">
        <v>12</v>
      </c>
      <c r="B1201" s="5" t="s">
        <v>13</v>
      </c>
      <c r="C1201" s="2" t="s">
        <v>965</v>
      </c>
      <c r="D1201" s="2" t="s">
        <v>48</v>
      </c>
      <c r="E1201" s="2" t="s">
        <v>14</v>
      </c>
      <c r="F1201" s="6">
        <v>0.0</v>
      </c>
      <c r="G1201" s="7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>
      <c r="A1202" s="5" t="s">
        <v>12</v>
      </c>
      <c r="B1202" s="5" t="s">
        <v>13</v>
      </c>
      <c r="C1202" s="2" t="s">
        <v>966</v>
      </c>
      <c r="D1202" s="2" t="s">
        <v>16</v>
      </c>
      <c r="E1202" s="2" t="s">
        <v>14</v>
      </c>
      <c r="F1202" s="6">
        <v>0.0</v>
      </c>
      <c r="G1202" s="7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>
      <c r="A1203" s="5" t="s">
        <v>12</v>
      </c>
      <c r="B1203" s="5" t="s">
        <v>13</v>
      </c>
      <c r="C1203" s="2" t="s">
        <v>967</v>
      </c>
      <c r="D1203" s="2" t="s">
        <v>16</v>
      </c>
      <c r="E1203" s="2" t="s">
        <v>14</v>
      </c>
      <c r="F1203" s="6">
        <v>0.0</v>
      </c>
      <c r="G1203" s="7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>
      <c r="A1204" s="5" t="s">
        <v>12</v>
      </c>
      <c r="B1204" s="5" t="s">
        <v>13</v>
      </c>
      <c r="C1204" s="2" t="s">
        <v>968</v>
      </c>
      <c r="D1204" s="2" t="s">
        <v>16</v>
      </c>
      <c r="E1204" s="2" t="s">
        <v>14</v>
      </c>
      <c r="F1204" s="6">
        <v>0.0</v>
      </c>
      <c r="G1204" s="7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>
      <c r="A1205" s="5" t="s">
        <v>12</v>
      </c>
      <c r="B1205" s="5" t="s">
        <v>8</v>
      </c>
      <c r="C1205" s="2" t="s">
        <v>968</v>
      </c>
      <c r="D1205" s="2" t="s">
        <v>16</v>
      </c>
      <c r="E1205" s="2" t="s">
        <v>49</v>
      </c>
      <c r="F1205" s="6">
        <v>1.0</v>
      </c>
      <c r="G1205" s="7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>
      <c r="A1206" s="5" t="s">
        <v>12</v>
      </c>
      <c r="B1206" s="5" t="s">
        <v>13</v>
      </c>
      <c r="C1206" s="2" t="s">
        <v>969</v>
      </c>
      <c r="D1206" s="2" t="s">
        <v>16</v>
      </c>
      <c r="E1206" s="2" t="s">
        <v>14</v>
      </c>
      <c r="F1206" s="6">
        <v>0.0</v>
      </c>
      <c r="G1206" s="7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>
      <c r="A1207" s="5" t="s">
        <v>12</v>
      </c>
      <c r="B1207" s="5" t="s">
        <v>13</v>
      </c>
      <c r="C1207" s="2" t="s">
        <v>970</v>
      </c>
      <c r="D1207" s="2" t="s">
        <v>48</v>
      </c>
      <c r="E1207" s="2" t="s">
        <v>49</v>
      </c>
      <c r="F1207" s="6">
        <v>750000.0</v>
      </c>
      <c r="G1207" s="7">
        <v>73135.0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>
      <c r="A1208" s="5" t="s">
        <v>12</v>
      </c>
      <c r="B1208" s="5" t="s">
        <v>13</v>
      </c>
      <c r="C1208" s="2" t="s">
        <v>971</v>
      </c>
      <c r="D1208" s="2" t="s">
        <v>16</v>
      </c>
      <c r="E1208" s="2" t="s">
        <v>14</v>
      </c>
      <c r="F1208" s="6">
        <v>100000.0</v>
      </c>
      <c r="G1208" s="7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>
      <c r="A1209" s="5" t="s">
        <v>12</v>
      </c>
      <c r="B1209" s="5" t="s">
        <v>13</v>
      </c>
      <c r="C1209" s="2" t="s">
        <v>972</v>
      </c>
      <c r="D1209" s="2" t="s">
        <v>16</v>
      </c>
      <c r="E1209" s="2" t="s">
        <v>33</v>
      </c>
      <c r="F1209" s="6">
        <v>0.0</v>
      </c>
      <c r="G1209" s="7">
        <v>0.0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>
      <c r="A1210" s="5" t="s">
        <v>12</v>
      </c>
      <c r="B1210" s="5" t="s">
        <v>13</v>
      </c>
      <c r="C1210" s="2" t="s">
        <v>973</v>
      </c>
      <c r="D1210" s="2" t="s">
        <v>16</v>
      </c>
      <c r="E1210" s="2" t="s">
        <v>14</v>
      </c>
      <c r="F1210" s="6">
        <v>0.0</v>
      </c>
      <c r="G1210" s="7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>
      <c r="A1211" s="5" t="s">
        <v>7</v>
      </c>
      <c r="B1211" s="5" t="s">
        <v>13</v>
      </c>
      <c r="C1211" s="2" t="s">
        <v>974</v>
      </c>
      <c r="D1211" s="2" t="s">
        <v>88</v>
      </c>
      <c r="E1211" s="2" t="s">
        <v>23</v>
      </c>
      <c r="F1211" s="6">
        <v>2700000.0</v>
      </c>
      <c r="G1211" s="7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>
      <c r="A1212" s="5" t="s">
        <v>12</v>
      </c>
      <c r="B1212" s="5" t="s">
        <v>13</v>
      </c>
      <c r="C1212" s="2" t="s">
        <v>974</v>
      </c>
      <c r="D1212" s="2" t="s">
        <v>88</v>
      </c>
      <c r="E1212" s="2" t="s">
        <v>17</v>
      </c>
      <c r="F1212" s="6">
        <v>2700000.0</v>
      </c>
      <c r="G1212" s="7">
        <v>556107.0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>
      <c r="A1213" s="5" t="s">
        <v>12</v>
      </c>
      <c r="B1213" s="5" t="s">
        <v>13</v>
      </c>
      <c r="C1213" s="2" t="s">
        <v>975</v>
      </c>
      <c r="D1213" s="2" t="s">
        <v>16</v>
      </c>
      <c r="E1213" s="2" t="s">
        <v>14</v>
      </c>
      <c r="F1213" s="6">
        <v>0.0</v>
      </c>
      <c r="G1213" s="7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>
      <c r="A1214" s="5" t="s">
        <v>12</v>
      </c>
      <c r="B1214" s="5" t="s">
        <v>13</v>
      </c>
      <c r="C1214" s="2" t="s">
        <v>976</v>
      </c>
      <c r="D1214" s="2" t="s">
        <v>16</v>
      </c>
      <c r="E1214" s="2" t="s">
        <v>14</v>
      </c>
      <c r="F1214" s="6">
        <v>0.0</v>
      </c>
      <c r="G1214" s="7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>
      <c r="A1215" s="5" t="s">
        <v>7</v>
      </c>
      <c r="B1215" s="5" t="s">
        <v>13</v>
      </c>
      <c r="C1215" s="2" t="s">
        <v>977</v>
      </c>
      <c r="D1215" s="2" t="s">
        <v>32</v>
      </c>
      <c r="E1215" s="2" t="s">
        <v>49</v>
      </c>
      <c r="F1215" s="6">
        <v>500000.0</v>
      </c>
      <c r="G1215" s="7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>
      <c r="A1216" s="5" t="s">
        <v>12</v>
      </c>
      <c r="B1216" s="5" t="s">
        <v>13</v>
      </c>
      <c r="C1216" s="2" t="s">
        <v>977</v>
      </c>
      <c r="D1216" s="2" t="s">
        <v>32</v>
      </c>
      <c r="E1216" s="2" t="s">
        <v>14</v>
      </c>
      <c r="F1216" s="6">
        <v>0.0</v>
      </c>
      <c r="G1216" s="7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>
      <c r="A1217" s="5" t="s">
        <v>12</v>
      </c>
      <c r="B1217" s="5" t="s">
        <v>13</v>
      </c>
      <c r="C1217" s="2" t="s">
        <v>978</v>
      </c>
      <c r="D1217" s="2" t="s">
        <v>16</v>
      </c>
      <c r="E1217" s="2" t="s">
        <v>14</v>
      </c>
      <c r="F1217" s="6">
        <v>0.0</v>
      </c>
      <c r="G1217" s="7">
        <v>1676780.0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>
      <c r="A1218" s="5" t="s">
        <v>12</v>
      </c>
      <c r="B1218" s="5" t="s">
        <v>13</v>
      </c>
      <c r="C1218" s="2" t="s">
        <v>979</v>
      </c>
      <c r="D1218" s="2" t="s">
        <v>16</v>
      </c>
      <c r="E1218" s="2" t="s">
        <v>14</v>
      </c>
      <c r="F1218" s="6">
        <v>0.0</v>
      </c>
      <c r="G1218" s="7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>
      <c r="A1219" s="5" t="s">
        <v>12</v>
      </c>
      <c r="B1219" s="5" t="s">
        <v>13</v>
      </c>
      <c r="C1219" s="2" t="s">
        <v>980</v>
      </c>
      <c r="D1219" s="2" t="s">
        <v>16</v>
      </c>
      <c r="E1219" s="2" t="s">
        <v>49</v>
      </c>
      <c r="F1219" s="6">
        <v>0.0</v>
      </c>
      <c r="G1219" s="7">
        <v>0.0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>
      <c r="A1220" s="5" t="s">
        <v>7</v>
      </c>
      <c r="B1220" s="5" t="s">
        <v>13</v>
      </c>
      <c r="C1220" s="2" t="s">
        <v>981</v>
      </c>
      <c r="D1220" s="2" t="s">
        <v>16</v>
      </c>
      <c r="E1220" s="2" t="s">
        <v>14</v>
      </c>
      <c r="F1220" s="6">
        <v>0.0</v>
      </c>
      <c r="G1220" s="7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>
      <c r="A1221" s="5" t="s">
        <v>12</v>
      </c>
      <c r="B1221" s="5" t="s">
        <v>13</v>
      </c>
      <c r="C1221" s="2" t="s">
        <v>981</v>
      </c>
      <c r="D1221" s="2" t="s">
        <v>16</v>
      </c>
      <c r="E1221" s="2" t="s">
        <v>14</v>
      </c>
      <c r="F1221" s="6">
        <v>0.0</v>
      </c>
      <c r="G1221" s="7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>
      <c r="A1222" s="5" t="s">
        <v>12</v>
      </c>
      <c r="B1222" s="5" t="s">
        <v>13</v>
      </c>
      <c r="C1222" s="2" t="s">
        <v>982</v>
      </c>
      <c r="D1222" s="2" t="s">
        <v>16</v>
      </c>
      <c r="E1222" s="2" t="s">
        <v>14</v>
      </c>
      <c r="F1222" s="6">
        <v>0.0</v>
      </c>
      <c r="G1222" s="7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>
      <c r="A1223" s="5" t="s">
        <v>7</v>
      </c>
      <c r="B1223" s="5" t="s">
        <v>13</v>
      </c>
      <c r="C1223" s="2" t="s">
        <v>983</v>
      </c>
      <c r="D1223" s="2" t="s">
        <v>16</v>
      </c>
      <c r="E1223" s="2" t="s">
        <v>14</v>
      </c>
      <c r="F1223" s="6">
        <v>0.0</v>
      </c>
      <c r="G1223" s="7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>
      <c r="A1224" s="5" t="s">
        <v>12</v>
      </c>
      <c r="B1224" s="5" t="s">
        <v>13</v>
      </c>
      <c r="C1224" s="2" t="s">
        <v>984</v>
      </c>
      <c r="D1224" s="2" t="s">
        <v>16</v>
      </c>
      <c r="E1224" s="2" t="s">
        <v>49</v>
      </c>
      <c r="F1224" s="6">
        <v>30000.0</v>
      </c>
      <c r="G1224" s="7">
        <v>0.0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>
      <c r="A1225" s="5" t="s">
        <v>12</v>
      </c>
      <c r="B1225" s="5" t="s">
        <v>13</v>
      </c>
      <c r="C1225" s="2" t="s">
        <v>985</v>
      </c>
      <c r="D1225" s="2" t="s">
        <v>48</v>
      </c>
      <c r="E1225" s="2" t="s">
        <v>14</v>
      </c>
      <c r="F1225" s="6">
        <v>179000.0</v>
      </c>
      <c r="G1225" s="7">
        <v>273819.0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>
      <c r="A1226" s="5" t="s">
        <v>12</v>
      </c>
      <c r="B1226" s="5" t="s">
        <v>13</v>
      </c>
      <c r="C1226" s="2" t="s">
        <v>986</v>
      </c>
      <c r="D1226" s="2" t="s">
        <v>48</v>
      </c>
      <c r="E1226" s="2" t="s">
        <v>14</v>
      </c>
      <c r="F1226" s="6">
        <v>0.0</v>
      </c>
      <c r="G1226" s="7">
        <v>342.0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>
      <c r="A1227" s="5" t="s">
        <v>7</v>
      </c>
      <c r="B1227" s="5" t="s">
        <v>13</v>
      </c>
      <c r="C1227" s="2" t="s">
        <v>987</v>
      </c>
      <c r="D1227" s="2" t="s">
        <v>32</v>
      </c>
      <c r="E1227" s="2" t="s">
        <v>84</v>
      </c>
      <c r="F1227" s="6">
        <v>800000.0</v>
      </c>
      <c r="G1227" s="7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>
      <c r="A1228" s="5" t="s">
        <v>12</v>
      </c>
      <c r="B1228" s="5" t="s">
        <v>13</v>
      </c>
      <c r="C1228" s="2" t="s">
        <v>987</v>
      </c>
      <c r="D1228" s="2" t="s">
        <v>32</v>
      </c>
      <c r="E1228" s="2" t="s">
        <v>84</v>
      </c>
      <c r="F1228" s="6">
        <v>2000000.0</v>
      </c>
      <c r="G1228" s="7">
        <v>1496566.0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>
      <c r="A1229" s="5" t="s">
        <v>12</v>
      </c>
      <c r="B1229" s="5" t="s">
        <v>13</v>
      </c>
      <c r="C1229" s="2" t="s">
        <v>988</v>
      </c>
      <c r="D1229" s="2" t="s">
        <v>16</v>
      </c>
      <c r="E1229" s="2" t="s">
        <v>17</v>
      </c>
      <c r="F1229" s="6">
        <v>650000.0</v>
      </c>
      <c r="G1229" s="7">
        <v>803850.0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>
      <c r="A1230" s="5" t="s">
        <v>7</v>
      </c>
      <c r="B1230" s="5" t="s">
        <v>13</v>
      </c>
      <c r="C1230" s="2" t="s">
        <v>989</v>
      </c>
      <c r="D1230" s="2" t="s">
        <v>32</v>
      </c>
      <c r="E1230" s="2" t="s">
        <v>223</v>
      </c>
      <c r="F1230" s="6">
        <v>500000.0</v>
      </c>
      <c r="G1230" s="7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>
      <c r="A1231" s="5" t="s">
        <v>12</v>
      </c>
      <c r="B1231" s="5" t="s">
        <v>13</v>
      </c>
      <c r="C1231" s="2" t="s">
        <v>989</v>
      </c>
      <c r="D1231" s="2" t="s">
        <v>32</v>
      </c>
      <c r="E1231" s="2" t="s">
        <v>96</v>
      </c>
      <c r="F1231" s="6">
        <v>500000.0</v>
      </c>
      <c r="G1231" s="7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>
      <c r="A1232" s="5" t="s">
        <v>12</v>
      </c>
      <c r="B1232" s="5" t="s">
        <v>13</v>
      </c>
      <c r="C1232" s="2" t="s">
        <v>990</v>
      </c>
      <c r="D1232" s="2" t="s">
        <v>16</v>
      </c>
      <c r="E1232" s="2" t="s">
        <v>14</v>
      </c>
      <c r="F1232" s="6">
        <v>0.0</v>
      </c>
      <c r="G1232" s="7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>
      <c r="A1233" s="5" t="s">
        <v>7</v>
      </c>
      <c r="B1233" s="5" t="s">
        <v>13</v>
      </c>
      <c r="C1233" s="2" t="s">
        <v>991</v>
      </c>
      <c r="D1233" s="2" t="s">
        <v>32</v>
      </c>
      <c r="E1233" s="2" t="s">
        <v>144</v>
      </c>
      <c r="F1233" s="6">
        <v>1.32E7</v>
      </c>
      <c r="G1233" s="7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>
      <c r="A1234" s="5" t="s">
        <v>12</v>
      </c>
      <c r="B1234" s="5" t="s">
        <v>13</v>
      </c>
      <c r="C1234" s="2" t="s">
        <v>991</v>
      </c>
      <c r="D1234" s="2" t="s">
        <v>32</v>
      </c>
      <c r="E1234" s="2" t="s">
        <v>49</v>
      </c>
      <c r="F1234" s="6">
        <v>1.4E7</v>
      </c>
      <c r="G1234" s="7">
        <v>8778963.0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>
      <c r="A1235" s="5" t="s">
        <v>12</v>
      </c>
      <c r="B1235" s="5" t="s">
        <v>13</v>
      </c>
      <c r="C1235" s="2" t="s">
        <v>992</v>
      </c>
      <c r="D1235" s="2" t="s">
        <v>16</v>
      </c>
      <c r="E1235" s="2" t="s">
        <v>14</v>
      </c>
      <c r="F1235" s="6">
        <v>0.0</v>
      </c>
      <c r="G1235" s="7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>
      <c r="A1236" s="5" t="s">
        <v>7</v>
      </c>
      <c r="B1236" s="5" t="s">
        <v>13</v>
      </c>
      <c r="C1236" s="2" t="s">
        <v>993</v>
      </c>
      <c r="D1236" s="2" t="s">
        <v>48</v>
      </c>
      <c r="E1236" s="2" t="s">
        <v>144</v>
      </c>
      <c r="F1236" s="6">
        <v>2876000.0</v>
      </c>
      <c r="G1236" s="7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>
      <c r="A1237" s="5" t="s">
        <v>12</v>
      </c>
      <c r="B1237" s="5" t="s">
        <v>13</v>
      </c>
      <c r="C1237" s="2" t="s">
        <v>993</v>
      </c>
      <c r="D1237" s="2" t="s">
        <v>48</v>
      </c>
      <c r="E1237" s="2" t="s">
        <v>49</v>
      </c>
      <c r="F1237" s="6">
        <v>2876000.0</v>
      </c>
      <c r="G1237" s="7">
        <v>1785184.0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>
      <c r="A1238" s="5" t="s">
        <v>12</v>
      </c>
      <c r="B1238" s="5" t="s">
        <v>13</v>
      </c>
      <c r="C1238" s="2" t="s">
        <v>994</v>
      </c>
      <c r="D1238" s="2" t="s">
        <v>16</v>
      </c>
      <c r="E1238" s="2" t="s">
        <v>14</v>
      </c>
      <c r="F1238" s="6">
        <v>0.0</v>
      </c>
      <c r="G1238" s="7">
        <v>-7166022.0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>
      <c r="A1239" s="5" t="s">
        <v>7</v>
      </c>
      <c r="B1239" s="5" t="s">
        <v>13</v>
      </c>
      <c r="C1239" s="2" t="s">
        <v>995</v>
      </c>
      <c r="D1239" s="2" t="s">
        <v>32</v>
      </c>
      <c r="E1239" s="2" t="s">
        <v>49</v>
      </c>
      <c r="F1239" s="6">
        <v>100000.0</v>
      </c>
      <c r="G1239" s="7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>
      <c r="A1240" s="5" t="s">
        <v>12</v>
      </c>
      <c r="B1240" s="5" t="s">
        <v>13</v>
      </c>
      <c r="C1240" s="2" t="s">
        <v>995</v>
      </c>
      <c r="D1240" s="2" t="s">
        <v>32</v>
      </c>
      <c r="E1240" s="2" t="s">
        <v>14</v>
      </c>
      <c r="F1240" s="6">
        <v>200000.0</v>
      </c>
      <c r="G1240" s="7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>
      <c r="A1241" s="5" t="s">
        <v>12</v>
      </c>
      <c r="B1241" s="5" t="s">
        <v>13</v>
      </c>
      <c r="C1241" s="2" t="s">
        <v>996</v>
      </c>
      <c r="D1241" s="2" t="s">
        <v>16</v>
      </c>
      <c r="E1241" s="2" t="s">
        <v>14</v>
      </c>
      <c r="F1241" s="6">
        <v>0.0</v>
      </c>
      <c r="G1241" s="7">
        <v>0.0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>
      <c r="A1242" s="5" t="s">
        <v>12</v>
      </c>
      <c r="B1242" s="5" t="s">
        <v>13</v>
      </c>
      <c r="C1242" s="2" t="s">
        <v>997</v>
      </c>
      <c r="D1242" s="2" t="s">
        <v>16</v>
      </c>
      <c r="E1242" s="2" t="s">
        <v>14</v>
      </c>
      <c r="F1242" s="6">
        <v>0.0</v>
      </c>
      <c r="G1242" s="7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>
      <c r="A1243" s="5" t="s">
        <v>7</v>
      </c>
      <c r="B1243" s="5" t="s">
        <v>13</v>
      </c>
      <c r="C1243" s="2" t="s">
        <v>998</v>
      </c>
      <c r="D1243" s="2" t="s">
        <v>16</v>
      </c>
      <c r="E1243" s="2" t="s">
        <v>14</v>
      </c>
      <c r="F1243" s="6">
        <v>0.0</v>
      </c>
      <c r="G1243" s="7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>
      <c r="A1244" s="5" t="s">
        <v>7</v>
      </c>
      <c r="B1244" s="5" t="s">
        <v>13</v>
      </c>
      <c r="C1244" s="2" t="s">
        <v>999</v>
      </c>
      <c r="D1244" s="2" t="s">
        <v>26</v>
      </c>
      <c r="E1244" s="2" t="s">
        <v>49</v>
      </c>
      <c r="F1244" s="6">
        <v>200000.0</v>
      </c>
      <c r="G1244" s="7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>
      <c r="A1245" s="5" t="s">
        <v>12</v>
      </c>
      <c r="B1245" s="5" t="s">
        <v>13</v>
      </c>
      <c r="C1245" s="2" t="s">
        <v>999</v>
      </c>
      <c r="D1245" s="2" t="s">
        <v>26</v>
      </c>
      <c r="E1245" s="2" t="s">
        <v>49</v>
      </c>
      <c r="F1245" s="6">
        <v>500000.0</v>
      </c>
      <c r="G1245" s="7">
        <v>245281.0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>
      <c r="A1246" s="5" t="s">
        <v>12</v>
      </c>
      <c r="B1246" s="5" t="s">
        <v>13</v>
      </c>
      <c r="C1246" s="2" t="s">
        <v>1000</v>
      </c>
      <c r="D1246" s="2" t="s">
        <v>16</v>
      </c>
      <c r="E1246" s="2" t="s">
        <v>14</v>
      </c>
      <c r="F1246" s="6">
        <v>0.0</v>
      </c>
      <c r="G1246" s="7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>
      <c r="A1247" s="5" t="s">
        <v>12</v>
      </c>
      <c r="B1247" s="5" t="s">
        <v>13</v>
      </c>
      <c r="C1247" s="2" t="s">
        <v>1001</v>
      </c>
      <c r="D1247" s="2" t="s">
        <v>16</v>
      </c>
      <c r="E1247" s="2" t="s">
        <v>17</v>
      </c>
      <c r="F1247" s="6">
        <v>70000.0</v>
      </c>
      <c r="G1247" s="7">
        <v>66788.0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>
      <c r="A1248" s="5" t="s">
        <v>7</v>
      </c>
      <c r="B1248" s="5" t="s">
        <v>13</v>
      </c>
      <c r="C1248" s="2" t="s">
        <v>1002</v>
      </c>
      <c r="D1248" s="2" t="s">
        <v>88</v>
      </c>
      <c r="E1248" s="2" t="s">
        <v>144</v>
      </c>
      <c r="F1248" s="6">
        <v>1050000.0</v>
      </c>
      <c r="G1248" s="7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>
      <c r="A1249" s="5" t="s">
        <v>12</v>
      </c>
      <c r="B1249" s="5" t="s">
        <v>13</v>
      </c>
      <c r="C1249" s="2" t="s">
        <v>1002</v>
      </c>
      <c r="D1249" s="2" t="s">
        <v>88</v>
      </c>
      <c r="E1249" s="2" t="s">
        <v>49</v>
      </c>
      <c r="F1249" s="6">
        <v>1050000.0</v>
      </c>
      <c r="G1249" s="7">
        <v>105020.0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>
      <c r="A1250" s="5" t="s">
        <v>7</v>
      </c>
      <c r="B1250" s="5" t="s">
        <v>13</v>
      </c>
      <c r="C1250" s="2" t="s">
        <v>1003</v>
      </c>
      <c r="D1250" s="2" t="s">
        <v>16</v>
      </c>
      <c r="E1250" s="2" t="s">
        <v>1004</v>
      </c>
      <c r="F1250" s="6">
        <v>350000.0</v>
      </c>
      <c r="G1250" s="7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>
      <c r="A1251" s="5" t="s">
        <v>12</v>
      </c>
      <c r="B1251" s="5" t="s">
        <v>13</v>
      </c>
      <c r="C1251" s="2" t="s">
        <v>1003</v>
      </c>
      <c r="D1251" s="2" t="s">
        <v>16</v>
      </c>
      <c r="E1251" s="2" t="s">
        <v>187</v>
      </c>
      <c r="F1251" s="6">
        <v>465000.0</v>
      </c>
      <c r="G1251" s="7">
        <v>565584.0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>
      <c r="A1252" s="5" t="s">
        <v>12</v>
      </c>
      <c r="B1252" s="5" t="s">
        <v>13</v>
      </c>
      <c r="C1252" s="2" t="s">
        <v>1005</v>
      </c>
      <c r="D1252" s="2" t="s">
        <v>16</v>
      </c>
      <c r="E1252" s="2" t="s">
        <v>14</v>
      </c>
      <c r="F1252" s="6">
        <v>0.0</v>
      </c>
      <c r="G1252" s="7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>
      <c r="A1253" s="5" t="s">
        <v>12</v>
      </c>
      <c r="B1253" s="5" t="s">
        <v>13</v>
      </c>
      <c r="C1253" s="2" t="s">
        <v>1006</v>
      </c>
      <c r="D1253" s="2" t="s">
        <v>16</v>
      </c>
      <c r="E1253" s="2" t="s">
        <v>14</v>
      </c>
      <c r="F1253" s="6">
        <v>1.0</v>
      </c>
      <c r="G1253" s="7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>
      <c r="A1254" s="5" t="s">
        <v>12</v>
      </c>
      <c r="B1254" s="5" t="s">
        <v>13</v>
      </c>
      <c r="C1254" s="2" t="s">
        <v>1007</v>
      </c>
      <c r="D1254" s="2" t="s">
        <v>16</v>
      </c>
      <c r="E1254" s="2" t="s">
        <v>14</v>
      </c>
      <c r="F1254" s="6">
        <v>557000.0</v>
      </c>
      <c r="G1254" s="7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>
      <c r="A1255" s="5" t="s">
        <v>12</v>
      </c>
      <c r="B1255" s="5" t="s">
        <v>8</v>
      </c>
      <c r="C1255" s="2" t="s">
        <v>1007</v>
      </c>
      <c r="D1255" s="2" t="s">
        <v>16</v>
      </c>
      <c r="E1255" s="2" t="s">
        <v>14</v>
      </c>
      <c r="F1255" s="6">
        <v>1300000.0</v>
      </c>
      <c r="G1255" s="7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>
      <c r="A1256" s="5" t="s">
        <v>12</v>
      </c>
      <c r="B1256" s="5" t="s">
        <v>13</v>
      </c>
      <c r="C1256" s="2" t="s">
        <v>1008</v>
      </c>
      <c r="D1256" s="2" t="s">
        <v>16</v>
      </c>
      <c r="E1256" s="2" t="s">
        <v>14</v>
      </c>
      <c r="F1256" s="6">
        <v>100000.0</v>
      </c>
      <c r="G1256" s="7">
        <v>53906.0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>
      <c r="A1257" s="5" t="s">
        <v>12</v>
      </c>
      <c r="B1257" s="5" t="s">
        <v>13</v>
      </c>
      <c r="C1257" s="2" t="s">
        <v>1009</v>
      </c>
      <c r="D1257" s="2" t="s">
        <v>16</v>
      </c>
      <c r="E1257" s="2" t="s">
        <v>49</v>
      </c>
      <c r="F1257" s="6">
        <v>200000.0</v>
      </c>
      <c r="G1257" s="7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>
      <c r="A1258" s="5" t="s">
        <v>7</v>
      </c>
      <c r="B1258" s="5" t="s">
        <v>13</v>
      </c>
      <c r="C1258" s="2" t="s">
        <v>1010</v>
      </c>
      <c r="D1258" s="2" t="s">
        <v>88</v>
      </c>
      <c r="E1258" s="2" t="s">
        <v>144</v>
      </c>
      <c r="F1258" s="6">
        <v>3050000.0</v>
      </c>
      <c r="G1258" s="7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>
      <c r="A1259" s="5" t="s">
        <v>12</v>
      </c>
      <c r="B1259" s="5" t="s">
        <v>13</v>
      </c>
      <c r="C1259" s="2" t="s">
        <v>1010</v>
      </c>
      <c r="D1259" s="2" t="s">
        <v>88</v>
      </c>
      <c r="E1259" s="2" t="s">
        <v>49</v>
      </c>
      <c r="F1259" s="6">
        <v>3050000.0</v>
      </c>
      <c r="G1259" s="7">
        <v>306918.0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>
      <c r="A1260" s="5" t="s">
        <v>12</v>
      </c>
      <c r="B1260" s="5" t="s">
        <v>13</v>
      </c>
      <c r="C1260" s="2" t="s">
        <v>1011</v>
      </c>
      <c r="D1260" s="2" t="s">
        <v>16</v>
      </c>
      <c r="E1260" s="2" t="s">
        <v>14</v>
      </c>
      <c r="F1260" s="6">
        <v>0.0</v>
      </c>
      <c r="G1260" s="7">
        <v>136500.0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>
      <c r="A1261" s="5" t="s">
        <v>7</v>
      </c>
      <c r="B1261" s="5" t="s">
        <v>13</v>
      </c>
      <c r="C1261" s="2" t="s">
        <v>1012</v>
      </c>
      <c r="D1261" s="2" t="s">
        <v>419</v>
      </c>
      <c r="E1261" s="2" t="s">
        <v>950</v>
      </c>
      <c r="F1261" s="6">
        <v>200000.0</v>
      </c>
      <c r="G1261" s="7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>
      <c r="A1262" s="5" t="s">
        <v>12</v>
      </c>
      <c r="B1262" s="5" t="s">
        <v>13</v>
      </c>
      <c r="C1262" s="2" t="s">
        <v>1012</v>
      </c>
      <c r="D1262" s="2" t="s">
        <v>419</v>
      </c>
      <c r="E1262" s="2" t="s">
        <v>951</v>
      </c>
      <c r="F1262" s="6">
        <v>200000.0</v>
      </c>
      <c r="G1262" s="7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>
      <c r="A1263" s="5" t="s">
        <v>12</v>
      </c>
      <c r="B1263" s="5" t="s">
        <v>13</v>
      </c>
      <c r="C1263" s="2" t="s">
        <v>1013</v>
      </c>
      <c r="D1263" s="2" t="s">
        <v>16</v>
      </c>
      <c r="E1263" s="2" t="s">
        <v>49</v>
      </c>
      <c r="F1263" s="6">
        <v>500000.0</v>
      </c>
      <c r="G1263" s="7">
        <v>29058.0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>
      <c r="A1264" s="5" t="s">
        <v>12</v>
      </c>
      <c r="B1264" s="5" t="s">
        <v>13</v>
      </c>
      <c r="C1264" s="2" t="s">
        <v>1014</v>
      </c>
      <c r="D1264" s="2" t="s">
        <v>16</v>
      </c>
      <c r="E1264" s="2" t="s">
        <v>14</v>
      </c>
      <c r="F1264" s="6">
        <v>0.0</v>
      </c>
      <c r="G1264" s="7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>
      <c r="A1265" s="5" t="s">
        <v>7</v>
      </c>
      <c r="B1265" s="5" t="s">
        <v>13</v>
      </c>
      <c r="C1265" s="2" t="s">
        <v>1015</v>
      </c>
      <c r="D1265" s="2" t="s">
        <v>32</v>
      </c>
      <c r="E1265" s="2" t="s">
        <v>173</v>
      </c>
      <c r="F1265" s="6">
        <v>3000000.0</v>
      </c>
      <c r="G1265" s="7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>
      <c r="A1266" s="5" t="s">
        <v>12</v>
      </c>
      <c r="B1266" s="5" t="s">
        <v>13</v>
      </c>
      <c r="C1266" s="2" t="s">
        <v>1015</v>
      </c>
      <c r="D1266" s="2" t="s">
        <v>32</v>
      </c>
      <c r="E1266" s="2" t="s">
        <v>11</v>
      </c>
      <c r="F1266" s="6">
        <v>3200000.0</v>
      </c>
      <c r="G1266" s="7">
        <v>857000.0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>
      <c r="A1267" s="5" t="s">
        <v>7</v>
      </c>
      <c r="B1267" s="5" t="s">
        <v>13</v>
      </c>
      <c r="C1267" s="2" t="s">
        <v>1016</v>
      </c>
      <c r="D1267" s="2" t="s">
        <v>16</v>
      </c>
      <c r="E1267" s="2" t="s">
        <v>49</v>
      </c>
      <c r="F1267" s="6">
        <v>255000.0</v>
      </c>
      <c r="G1267" s="7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>
      <c r="A1268" s="5" t="s">
        <v>12</v>
      </c>
      <c r="B1268" s="5" t="s">
        <v>13</v>
      </c>
      <c r="C1268" s="2" t="s">
        <v>1016</v>
      </c>
      <c r="D1268" s="2" t="s">
        <v>16</v>
      </c>
      <c r="E1268" s="2" t="s">
        <v>49</v>
      </c>
      <c r="F1268" s="6">
        <v>289312.0</v>
      </c>
      <c r="G1268" s="7">
        <v>-21000.0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>
      <c r="A1269" s="5" t="s">
        <v>7</v>
      </c>
      <c r="B1269" s="5" t="s">
        <v>13</v>
      </c>
      <c r="C1269" s="2" t="s">
        <v>1017</v>
      </c>
      <c r="D1269" s="2" t="s">
        <v>32</v>
      </c>
      <c r="E1269" s="2" t="s">
        <v>49</v>
      </c>
      <c r="F1269" s="6">
        <v>500000.0</v>
      </c>
      <c r="G1269" s="7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>
      <c r="A1270" s="5" t="s">
        <v>12</v>
      </c>
      <c r="B1270" s="5" t="s">
        <v>13</v>
      </c>
      <c r="C1270" s="2" t="s">
        <v>1017</v>
      </c>
      <c r="D1270" s="2" t="s">
        <v>32</v>
      </c>
      <c r="E1270" s="2" t="s">
        <v>49</v>
      </c>
      <c r="F1270" s="6">
        <v>1700000.0</v>
      </c>
      <c r="G1270" s="7">
        <v>668039.2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>
      <c r="A1271" s="5" t="s">
        <v>12</v>
      </c>
      <c r="B1271" s="5" t="s">
        <v>13</v>
      </c>
      <c r="C1271" s="2" t="s">
        <v>1018</v>
      </c>
      <c r="D1271" s="2" t="s">
        <v>32</v>
      </c>
      <c r="E1271" s="2" t="s">
        <v>14</v>
      </c>
      <c r="F1271" s="6">
        <v>0.0</v>
      </c>
      <c r="G1271" s="7">
        <v>2827500.0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>
      <c r="A1272" s="5" t="s">
        <v>12</v>
      </c>
      <c r="B1272" s="5" t="s">
        <v>13</v>
      </c>
      <c r="C1272" s="2" t="s">
        <v>1019</v>
      </c>
      <c r="D1272" s="2" t="s">
        <v>16</v>
      </c>
      <c r="E1272" s="2" t="s">
        <v>14</v>
      </c>
      <c r="F1272" s="6">
        <v>0.0</v>
      </c>
      <c r="G1272" s="7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>
      <c r="A1273" s="5" t="s">
        <v>12</v>
      </c>
      <c r="B1273" s="5" t="s">
        <v>13</v>
      </c>
      <c r="C1273" s="2" t="s">
        <v>1020</v>
      </c>
      <c r="D1273" s="2" t="s">
        <v>16</v>
      </c>
      <c r="E1273" s="2" t="s">
        <v>14</v>
      </c>
      <c r="F1273" s="6">
        <v>0.0</v>
      </c>
      <c r="G1273" s="7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>
      <c r="A1274" s="5" t="s">
        <v>12</v>
      </c>
      <c r="B1274" s="5" t="s">
        <v>13</v>
      </c>
      <c r="C1274" s="2" t="s">
        <v>1021</v>
      </c>
      <c r="D1274" s="2" t="s">
        <v>16</v>
      </c>
      <c r="E1274" s="2" t="s">
        <v>49</v>
      </c>
      <c r="F1274" s="6">
        <v>0.0</v>
      </c>
      <c r="G1274" s="7">
        <v>1315448.0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>
      <c r="A1275" s="5" t="s">
        <v>12</v>
      </c>
      <c r="B1275" s="5" t="s">
        <v>13</v>
      </c>
      <c r="C1275" s="2" t="s">
        <v>1022</v>
      </c>
      <c r="D1275" s="2" t="s">
        <v>16</v>
      </c>
      <c r="E1275" s="2" t="s">
        <v>17</v>
      </c>
      <c r="F1275" s="6">
        <v>0.0</v>
      </c>
      <c r="G1275" s="7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>
      <c r="A1276" s="5" t="s">
        <v>12</v>
      </c>
      <c r="B1276" s="5" t="s">
        <v>13</v>
      </c>
      <c r="C1276" s="2" t="s">
        <v>1023</v>
      </c>
      <c r="D1276" s="2" t="s">
        <v>16</v>
      </c>
      <c r="E1276" s="2" t="s">
        <v>14</v>
      </c>
      <c r="F1276" s="6">
        <v>0.0</v>
      </c>
      <c r="G1276" s="7">
        <v>-472000.0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>
      <c r="A1277" s="5" t="s">
        <v>7</v>
      </c>
      <c r="B1277" s="5" t="s">
        <v>13</v>
      </c>
      <c r="C1277" s="2" t="s">
        <v>1024</v>
      </c>
      <c r="D1277" s="2" t="s">
        <v>48</v>
      </c>
      <c r="E1277" s="2" t="s">
        <v>14</v>
      </c>
      <c r="F1277" s="6">
        <v>0.0</v>
      </c>
      <c r="G1277" s="7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>
      <c r="A1278" s="5" t="s">
        <v>12</v>
      </c>
      <c r="B1278" s="5" t="s">
        <v>13</v>
      </c>
      <c r="C1278" s="2" t="s">
        <v>1024</v>
      </c>
      <c r="D1278" s="2" t="s">
        <v>48</v>
      </c>
      <c r="E1278" s="2" t="s">
        <v>33</v>
      </c>
      <c r="F1278" s="6">
        <v>1300000.0</v>
      </c>
      <c r="G1278" s="7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>
      <c r="A1279" s="5" t="s">
        <v>12</v>
      </c>
      <c r="B1279" s="5" t="s">
        <v>13</v>
      </c>
      <c r="C1279" s="2" t="s">
        <v>1025</v>
      </c>
      <c r="D1279" s="2" t="s">
        <v>48</v>
      </c>
      <c r="E1279" s="2" t="s">
        <v>14</v>
      </c>
      <c r="F1279" s="6">
        <v>0.0</v>
      </c>
      <c r="G1279" s="7">
        <v>-7147850.0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>
      <c r="A1280" s="5" t="s">
        <v>12</v>
      </c>
      <c r="B1280" s="5" t="s">
        <v>13</v>
      </c>
      <c r="C1280" s="2" t="s">
        <v>1026</v>
      </c>
      <c r="D1280" s="2" t="s">
        <v>16</v>
      </c>
      <c r="E1280" s="2" t="s">
        <v>14</v>
      </c>
      <c r="F1280" s="6">
        <v>0.0</v>
      </c>
      <c r="G1280" s="7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>
      <c r="A1281" s="5" t="s">
        <v>7</v>
      </c>
      <c r="B1281" s="5" t="s">
        <v>13</v>
      </c>
      <c r="C1281" s="2" t="s">
        <v>1027</v>
      </c>
      <c r="D1281" s="2" t="s">
        <v>16</v>
      </c>
      <c r="E1281" s="2" t="s">
        <v>14</v>
      </c>
      <c r="F1281" s="6">
        <v>0.0</v>
      </c>
      <c r="G1281" s="7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>
      <c r="A1282" s="5" t="s">
        <v>12</v>
      </c>
      <c r="B1282" s="5" t="s">
        <v>13</v>
      </c>
      <c r="C1282" s="2" t="s">
        <v>1027</v>
      </c>
      <c r="D1282" s="2" t="s">
        <v>16</v>
      </c>
      <c r="E1282" s="2" t="s">
        <v>11</v>
      </c>
      <c r="F1282" s="6">
        <v>3600000.0</v>
      </c>
      <c r="G1282" s="7">
        <v>1033959.0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>
      <c r="A1283" s="5" t="s">
        <v>12</v>
      </c>
      <c r="B1283" s="5" t="s">
        <v>13</v>
      </c>
      <c r="C1283" s="2" t="s">
        <v>1028</v>
      </c>
      <c r="D1283" s="2" t="s">
        <v>16</v>
      </c>
      <c r="E1283" s="2" t="s">
        <v>14</v>
      </c>
      <c r="F1283" s="6">
        <v>0.0</v>
      </c>
      <c r="G1283" s="7">
        <v>1338000.0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>
      <c r="A1284" s="5" t="s">
        <v>7</v>
      </c>
      <c r="B1284" s="5" t="s">
        <v>13</v>
      </c>
      <c r="C1284" s="2" t="s">
        <v>1029</v>
      </c>
      <c r="D1284" s="2" t="s">
        <v>16</v>
      </c>
      <c r="E1284" s="2" t="s">
        <v>223</v>
      </c>
      <c r="F1284" s="6">
        <v>5100000.0</v>
      </c>
      <c r="G1284" s="7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>
      <c r="A1285" s="5" t="s">
        <v>7</v>
      </c>
      <c r="B1285" s="5" t="s">
        <v>13</v>
      </c>
      <c r="C1285" s="2" t="s">
        <v>1030</v>
      </c>
      <c r="D1285" s="2" t="s">
        <v>83</v>
      </c>
      <c r="E1285" s="2" t="s">
        <v>14</v>
      </c>
      <c r="F1285" s="6">
        <v>0.0</v>
      </c>
      <c r="G1285" s="7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>
      <c r="A1286" s="5" t="s">
        <v>12</v>
      </c>
      <c r="B1286" s="5" t="s">
        <v>13</v>
      </c>
      <c r="C1286" s="2" t="s">
        <v>1030</v>
      </c>
      <c r="D1286" s="2" t="s">
        <v>83</v>
      </c>
      <c r="E1286" s="2" t="s">
        <v>96</v>
      </c>
      <c r="F1286" s="6">
        <v>2900000.0</v>
      </c>
      <c r="G1286" s="7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>
      <c r="A1287" s="5" t="s">
        <v>12</v>
      </c>
      <c r="B1287" s="5" t="s">
        <v>13</v>
      </c>
      <c r="C1287" s="2" t="s">
        <v>1031</v>
      </c>
      <c r="D1287" s="2" t="s">
        <v>16</v>
      </c>
      <c r="E1287" s="2" t="s">
        <v>14</v>
      </c>
      <c r="F1287" s="6">
        <v>0.0</v>
      </c>
      <c r="G1287" s="7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>
      <c r="A1288" s="5" t="s">
        <v>12</v>
      </c>
      <c r="B1288" s="5" t="s">
        <v>13</v>
      </c>
      <c r="C1288" s="2" t="s">
        <v>1032</v>
      </c>
      <c r="D1288" s="2" t="s">
        <v>83</v>
      </c>
      <c r="E1288" s="2" t="s">
        <v>96</v>
      </c>
      <c r="F1288" s="6">
        <v>5100000.0</v>
      </c>
      <c r="G1288" s="7">
        <v>2812429.4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>
      <c r="A1289" s="5" t="s">
        <v>12</v>
      </c>
      <c r="B1289" s="5" t="s">
        <v>13</v>
      </c>
      <c r="C1289" s="2" t="s">
        <v>1033</v>
      </c>
      <c r="D1289" s="2" t="s">
        <v>16</v>
      </c>
      <c r="E1289" s="2" t="s">
        <v>14</v>
      </c>
      <c r="F1289" s="6">
        <v>0.0</v>
      </c>
      <c r="G1289" s="7">
        <v>0.0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>
      <c r="A1290" s="5" t="s">
        <v>12</v>
      </c>
      <c r="B1290" s="5" t="s">
        <v>13</v>
      </c>
      <c r="C1290" s="2" t="s">
        <v>1034</v>
      </c>
      <c r="D1290" s="2" t="s">
        <v>16</v>
      </c>
      <c r="E1290" s="2" t="s">
        <v>14</v>
      </c>
      <c r="F1290" s="6">
        <v>0.0</v>
      </c>
      <c r="G1290" s="7">
        <v>250000.0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>
      <c r="A1291" s="5" t="s">
        <v>12</v>
      </c>
      <c r="B1291" s="5" t="s">
        <v>13</v>
      </c>
      <c r="C1291" s="2" t="s">
        <v>1035</v>
      </c>
      <c r="D1291" s="2" t="s">
        <v>16</v>
      </c>
      <c r="E1291" s="2" t="s">
        <v>14</v>
      </c>
      <c r="F1291" s="6">
        <v>0.0</v>
      </c>
      <c r="G1291" s="7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>
      <c r="A1292" s="5" t="s">
        <v>7</v>
      </c>
      <c r="B1292" s="5" t="s">
        <v>13</v>
      </c>
      <c r="C1292" s="2" t="s">
        <v>1036</v>
      </c>
      <c r="D1292" s="2" t="s">
        <v>16</v>
      </c>
      <c r="E1292" s="2" t="s">
        <v>49</v>
      </c>
      <c r="F1292" s="6">
        <v>300000.0</v>
      </c>
      <c r="G1292" s="7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>
      <c r="A1293" s="5" t="s">
        <v>12</v>
      </c>
      <c r="B1293" s="5" t="s">
        <v>13</v>
      </c>
      <c r="C1293" s="2" t="s">
        <v>1036</v>
      </c>
      <c r="D1293" s="2" t="s">
        <v>16</v>
      </c>
      <c r="E1293" s="2" t="s">
        <v>49</v>
      </c>
      <c r="F1293" s="6">
        <v>500000.0</v>
      </c>
      <c r="G1293" s="7">
        <v>-100000.0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>
      <c r="A1294" s="5" t="s">
        <v>12</v>
      </c>
      <c r="B1294" s="5" t="s">
        <v>13</v>
      </c>
      <c r="C1294" s="2" t="s">
        <v>1037</v>
      </c>
      <c r="D1294" s="2" t="s">
        <v>16</v>
      </c>
      <c r="E1294" s="2" t="s">
        <v>14</v>
      </c>
      <c r="F1294" s="6">
        <v>0.0</v>
      </c>
      <c r="G1294" s="7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>
      <c r="A1295" s="5" t="s">
        <v>7</v>
      </c>
      <c r="B1295" s="5" t="s">
        <v>13</v>
      </c>
      <c r="C1295" s="2" t="s">
        <v>1038</v>
      </c>
      <c r="D1295" s="2" t="s">
        <v>419</v>
      </c>
      <c r="E1295" s="2" t="s">
        <v>23</v>
      </c>
      <c r="F1295" s="6">
        <v>875000.0</v>
      </c>
      <c r="G1295" s="7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>
      <c r="A1296" s="5" t="s">
        <v>12</v>
      </c>
      <c r="B1296" s="5" t="s">
        <v>13</v>
      </c>
      <c r="C1296" s="2" t="s">
        <v>1038</v>
      </c>
      <c r="D1296" s="2" t="s">
        <v>419</v>
      </c>
      <c r="E1296" s="2" t="s">
        <v>17</v>
      </c>
      <c r="F1296" s="6">
        <v>875000.0</v>
      </c>
      <c r="G1296" s="7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>
      <c r="A1297" s="5" t="s">
        <v>7</v>
      </c>
      <c r="B1297" s="5" t="s">
        <v>13</v>
      </c>
      <c r="C1297" s="2" t="s">
        <v>1039</v>
      </c>
      <c r="D1297" s="2" t="s">
        <v>48</v>
      </c>
      <c r="E1297" s="2" t="s">
        <v>144</v>
      </c>
      <c r="F1297" s="6">
        <v>800000.0</v>
      </c>
      <c r="G1297" s="7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>
      <c r="A1298" s="5" t="s">
        <v>12</v>
      </c>
      <c r="B1298" s="5" t="s">
        <v>13</v>
      </c>
      <c r="C1298" s="2" t="s">
        <v>1039</v>
      </c>
      <c r="D1298" s="2" t="s">
        <v>48</v>
      </c>
      <c r="E1298" s="2" t="s">
        <v>49</v>
      </c>
      <c r="F1298" s="6">
        <v>1650000.0</v>
      </c>
      <c r="G1298" s="7">
        <v>511032.0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>
      <c r="A1299" s="5" t="s">
        <v>12</v>
      </c>
      <c r="B1299" s="5" t="s">
        <v>8</v>
      </c>
      <c r="C1299" s="2" t="s">
        <v>1039</v>
      </c>
      <c r="D1299" s="2" t="s">
        <v>48</v>
      </c>
      <c r="E1299" s="2" t="s">
        <v>14</v>
      </c>
      <c r="F1299" s="6">
        <v>500.0</v>
      </c>
      <c r="G1299" s="7">
        <v>330120.0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>
      <c r="A1300" s="5" t="s">
        <v>12</v>
      </c>
      <c r="B1300" s="5" t="s">
        <v>13</v>
      </c>
      <c r="C1300" s="2" t="s">
        <v>1040</v>
      </c>
      <c r="D1300" s="2" t="s">
        <v>16</v>
      </c>
      <c r="E1300" s="2" t="s">
        <v>14</v>
      </c>
      <c r="F1300" s="6">
        <v>0.0</v>
      </c>
      <c r="G1300" s="7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>
      <c r="A1301" s="5" t="s">
        <v>12</v>
      </c>
      <c r="B1301" s="5" t="s">
        <v>8</v>
      </c>
      <c r="C1301" s="2" t="s">
        <v>1041</v>
      </c>
      <c r="D1301" s="2" t="s">
        <v>48</v>
      </c>
      <c r="E1301" s="2" t="s">
        <v>49</v>
      </c>
      <c r="F1301" s="6">
        <v>250000.0</v>
      </c>
      <c r="G1301" s="7">
        <v>143193.0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>
      <c r="A1302" s="5" t="s">
        <v>12</v>
      </c>
      <c r="B1302" s="5" t="s">
        <v>13</v>
      </c>
      <c r="C1302" s="2" t="s">
        <v>1041</v>
      </c>
      <c r="D1302" s="2" t="s">
        <v>48</v>
      </c>
      <c r="E1302" s="2" t="s">
        <v>49</v>
      </c>
      <c r="F1302" s="6">
        <v>700000.0</v>
      </c>
      <c r="G1302" s="7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>
      <c r="A1303" s="5" t="s">
        <v>7</v>
      </c>
      <c r="B1303" s="5" t="s">
        <v>13</v>
      </c>
      <c r="C1303" s="2" t="s">
        <v>1042</v>
      </c>
      <c r="D1303" s="2" t="s">
        <v>83</v>
      </c>
      <c r="E1303" s="2" t="s">
        <v>144</v>
      </c>
      <c r="F1303" s="6">
        <v>500000.0</v>
      </c>
      <c r="G1303" s="7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>
      <c r="A1304" s="5" t="s">
        <v>12</v>
      </c>
      <c r="B1304" s="5" t="s">
        <v>13</v>
      </c>
      <c r="C1304" s="2" t="s">
        <v>1042</v>
      </c>
      <c r="D1304" s="2" t="s">
        <v>83</v>
      </c>
      <c r="E1304" s="2" t="s">
        <v>49</v>
      </c>
      <c r="F1304" s="6">
        <v>500000.0</v>
      </c>
      <c r="G1304" s="7">
        <v>144159.0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>
      <c r="A1305" s="5" t="s">
        <v>12</v>
      </c>
      <c r="B1305" s="5" t="s">
        <v>13</v>
      </c>
      <c r="C1305" s="2" t="s">
        <v>1043</v>
      </c>
      <c r="D1305" s="2" t="s">
        <v>83</v>
      </c>
      <c r="E1305" s="2" t="s">
        <v>14</v>
      </c>
      <c r="F1305" s="6">
        <v>0.0</v>
      </c>
      <c r="G1305" s="7">
        <v>2156000.0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>
      <c r="A1306" s="5" t="s">
        <v>12</v>
      </c>
      <c r="B1306" s="5" t="s">
        <v>13</v>
      </c>
      <c r="C1306" s="2" t="s">
        <v>1044</v>
      </c>
      <c r="D1306" s="2" t="s">
        <v>16</v>
      </c>
      <c r="E1306" s="2" t="s">
        <v>14</v>
      </c>
      <c r="F1306" s="6">
        <v>0.0</v>
      </c>
      <c r="G1306" s="7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>
      <c r="A1307" s="5" t="s">
        <v>7</v>
      </c>
      <c r="B1307" s="5" t="s">
        <v>13</v>
      </c>
      <c r="C1307" s="2" t="s">
        <v>1045</v>
      </c>
      <c r="D1307" s="2" t="s">
        <v>32</v>
      </c>
      <c r="E1307" s="2" t="s">
        <v>17</v>
      </c>
      <c r="F1307" s="6">
        <v>500000.0</v>
      </c>
      <c r="G1307" s="7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>
      <c r="A1308" s="5" t="s">
        <v>12</v>
      </c>
      <c r="B1308" s="5" t="s">
        <v>13</v>
      </c>
      <c r="C1308" s="2" t="s">
        <v>1045</v>
      </c>
      <c r="D1308" s="2" t="s">
        <v>32</v>
      </c>
      <c r="E1308" s="2" t="s">
        <v>17</v>
      </c>
      <c r="F1308" s="6">
        <v>6000000.0</v>
      </c>
      <c r="G1308" s="7">
        <v>1697768.0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>
      <c r="A1309" s="5" t="s">
        <v>12</v>
      </c>
      <c r="B1309" s="5" t="s">
        <v>13</v>
      </c>
      <c r="C1309" s="2" t="s">
        <v>1046</v>
      </c>
      <c r="D1309" s="2" t="s">
        <v>32</v>
      </c>
      <c r="E1309" s="2" t="s">
        <v>14</v>
      </c>
      <c r="F1309" s="6">
        <v>0.0</v>
      </c>
      <c r="G1309" s="7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>
      <c r="A1310" s="5" t="s">
        <v>12</v>
      </c>
      <c r="B1310" s="5" t="s">
        <v>13</v>
      </c>
      <c r="C1310" s="2" t="s">
        <v>1047</v>
      </c>
      <c r="D1310" s="2" t="s">
        <v>16</v>
      </c>
      <c r="E1310" s="2" t="s">
        <v>14</v>
      </c>
      <c r="F1310" s="6">
        <v>0.0</v>
      </c>
      <c r="G1310" s="7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>
      <c r="A1311" s="5" t="s">
        <v>12</v>
      </c>
      <c r="B1311" s="5" t="s">
        <v>13</v>
      </c>
      <c r="C1311" s="2" t="s">
        <v>1048</v>
      </c>
      <c r="D1311" s="2" t="s">
        <v>16</v>
      </c>
      <c r="E1311" s="2" t="s">
        <v>49</v>
      </c>
      <c r="F1311" s="6">
        <v>0.0</v>
      </c>
      <c r="G1311" s="7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>
      <c r="A1312" s="5" t="s">
        <v>12</v>
      </c>
      <c r="B1312" s="5" t="s">
        <v>13</v>
      </c>
      <c r="C1312" s="2" t="s">
        <v>1049</v>
      </c>
      <c r="D1312" s="2" t="s">
        <v>16</v>
      </c>
      <c r="E1312" s="2" t="s">
        <v>49</v>
      </c>
      <c r="F1312" s="6">
        <v>0.0</v>
      </c>
      <c r="G1312" s="7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>
      <c r="A1313" s="5" t="s">
        <v>12</v>
      </c>
      <c r="B1313" s="5" t="s">
        <v>13</v>
      </c>
      <c r="C1313" s="2" t="s">
        <v>1050</v>
      </c>
      <c r="D1313" s="2" t="s">
        <v>16</v>
      </c>
      <c r="E1313" s="2" t="s">
        <v>14</v>
      </c>
      <c r="F1313" s="6">
        <v>0.0</v>
      </c>
      <c r="G1313" s="7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>
      <c r="A1314" s="5" t="s">
        <v>12</v>
      </c>
      <c r="B1314" s="5" t="s">
        <v>13</v>
      </c>
      <c r="C1314" s="2" t="s">
        <v>1051</v>
      </c>
      <c r="D1314" s="2" t="s">
        <v>16</v>
      </c>
      <c r="E1314" s="2" t="s">
        <v>14</v>
      </c>
      <c r="F1314" s="6">
        <v>0.0</v>
      </c>
      <c r="G1314" s="7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>
      <c r="A1315" s="5" t="s">
        <v>7</v>
      </c>
      <c r="B1315" s="5" t="s">
        <v>8</v>
      </c>
      <c r="C1315" s="2" t="s">
        <v>1052</v>
      </c>
      <c r="D1315" s="2" t="s">
        <v>16</v>
      </c>
      <c r="E1315" s="2" t="s">
        <v>14</v>
      </c>
      <c r="F1315" s="6">
        <v>278371.0</v>
      </c>
      <c r="G1315" s="7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>
      <c r="A1316" s="5" t="s">
        <v>7</v>
      </c>
      <c r="B1316" s="5" t="s">
        <v>13</v>
      </c>
      <c r="C1316" s="2" t="s">
        <v>1053</v>
      </c>
      <c r="D1316" s="2" t="s">
        <v>10</v>
      </c>
      <c r="E1316" s="2" t="s">
        <v>49</v>
      </c>
      <c r="F1316" s="6">
        <v>600000.0</v>
      </c>
      <c r="G1316" s="7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>
      <c r="A1317" s="5" t="s">
        <v>12</v>
      </c>
      <c r="B1317" s="5" t="s">
        <v>13</v>
      </c>
      <c r="C1317" s="2" t="s">
        <v>1053</v>
      </c>
      <c r="D1317" s="2" t="s">
        <v>10</v>
      </c>
      <c r="E1317" s="2" t="s">
        <v>49</v>
      </c>
      <c r="F1317" s="6">
        <v>700000.0</v>
      </c>
      <c r="G1317" s="7">
        <v>34220.0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>
      <c r="A1318" s="5" t="s">
        <v>12</v>
      </c>
      <c r="B1318" s="5" t="s">
        <v>8</v>
      </c>
      <c r="C1318" s="2" t="s">
        <v>1053</v>
      </c>
      <c r="D1318" s="2" t="s">
        <v>10</v>
      </c>
      <c r="E1318" s="2" t="s">
        <v>49</v>
      </c>
      <c r="F1318" s="6">
        <v>651000.0</v>
      </c>
      <c r="G1318" s="7">
        <v>102010.0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>
      <c r="A1319" s="5" t="s">
        <v>12</v>
      </c>
      <c r="B1319" s="5" t="s">
        <v>13</v>
      </c>
      <c r="C1319" s="2" t="s">
        <v>1054</v>
      </c>
      <c r="D1319" s="2" t="s">
        <v>16</v>
      </c>
      <c r="E1319" s="2" t="s">
        <v>14</v>
      </c>
      <c r="F1319" s="6">
        <v>0.0</v>
      </c>
      <c r="G1319" s="7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>
      <c r="A1320" s="5" t="s">
        <v>12</v>
      </c>
      <c r="B1320" s="5" t="s">
        <v>13</v>
      </c>
      <c r="C1320" s="2" t="s">
        <v>1055</v>
      </c>
      <c r="D1320" s="2" t="s">
        <v>16</v>
      </c>
      <c r="E1320" s="2" t="s">
        <v>14</v>
      </c>
      <c r="F1320" s="6">
        <v>0.0</v>
      </c>
      <c r="G1320" s="7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>
      <c r="A1321" s="5" t="s">
        <v>12</v>
      </c>
      <c r="B1321" s="5" t="s">
        <v>13</v>
      </c>
      <c r="C1321" s="2" t="s">
        <v>1056</v>
      </c>
      <c r="D1321" s="2" t="s">
        <v>83</v>
      </c>
      <c r="E1321" s="2" t="s">
        <v>14</v>
      </c>
      <c r="F1321" s="6">
        <v>0.0</v>
      </c>
      <c r="G1321" s="7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>
      <c r="A1322" s="5" t="s">
        <v>12</v>
      </c>
      <c r="B1322" s="5" t="s">
        <v>8</v>
      </c>
      <c r="C1322" s="2" t="s">
        <v>1057</v>
      </c>
      <c r="D1322" s="2" t="s">
        <v>48</v>
      </c>
      <c r="E1322" s="2" t="s">
        <v>11</v>
      </c>
      <c r="F1322" s="6">
        <v>675000.0</v>
      </c>
      <c r="G1322" s="7">
        <v>2289.0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>
      <c r="A1323" s="5" t="s">
        <v>12</v>
      </c>
      <c r="B1323" s="5" t="s">
        <v>13</v>
      </c>
      <c r="C1323" s="2" t="s">
        <v>1057</v>
      </c>
      <c r="D1323" s="2" t="s">
        <v>48</v>
      </c>
      <c r="E1323" s="2" t="s">
        <v>14</v>
      </c>
      <c r="F1323" s="6">
        <v>30000.0</v>
      </c>
      <c r="G1323" s="7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>
      <c r="A1324" s="5" t="s">
        <v>12</v>
      </c>
      <c r="B1324" s="5" t="s">
        <v>13</v>
      </c>
      <c r="C1324" s="2" t="s">
        <v>1058</v>
      </c>
      <c r="D1324" s="2" t="s">
        <v>16</v>
      </c>
      <c r="E1324" s="2" t="s">
        <v>14</v>
      </c>
      <c r="F1324" s="6">
        <v>0.0</v>
      </c>
      <c r="G1324" s="7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>
      <c r="A1325" s="5" t="s">
        <v>7</v>
      </c>
      <c r="B1325" s="5" t="s">
        <v>13</v>
      </c>
      <c r="C1325" s="2" t="s">
        <v>1059</v>
      </c>
      <c r="D1325" s="2" t="s">
        <v>32</v>
      </c>
      <c r="E1325" s="2" t="s">
        <v>33</v>
      </c>
      <c r="F1325" s="6">
        <v>70000.0</v>
      </c>
      <c r="G1325" s="7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>
      <c r="A1326" s="5" t="s">
        <v>12</v>
      </c>
      <c r="B1326" s="5" t="s">
        <v>13</v>
      </c>
      <c r="C1326" s="2" t="s">
        <v>1059</v>
      </c>
      <c r="D1326" s="2" t="s">
        <v>32</v>
      </c>
      <c r="E1326" s="2" t="s">
        <v>49</v>
      </c>
      <c r="F1326" s="6">
        <v>214000.0</v>
      </c>
      <c r="G1326" s="7">
        <v>46492.0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>
      <c r="A1327" s="5" t="s">
        <v>12</v>
      </c>
      <c r="B1327" s="5" t="s">
        <v>13</v>
      </c>
      <c r="C1327" s="2" t="s">
        <v>1060</v>
      </c>
      <c r="D1327" s="2" t="s">
        <v>16</v>
      </c>
      <c r="E1327" s="2" t="s">
        <v>14</v>
      </c>
      <c r="F1327" s="6">
        <v>0.0</v>
      </c>
      <c r="G1327" s="7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>
      <c r="A1328" s="5" t="s">
        <v>12</v>
      </c>
      <c r="B1328" s="5" t="s">
        <v>13</v>
      </c>
      <c r="C1328" s="2" t="s">
        <v>1061</v>
      </c>
      <c r="D1328" s="2" t="s">
        <v>16</v>
      </c>
      <c r="E1328" s="2" t="s">
        <v>14</v>
      </c>
      <c r="F1328" s="6">
        <v>0.0</v>
      </c>
      <c r="G1328" s="7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>
      <c r="A1329" s="5" t="s">
        <v>12</v>
      </c>
      <c r="B1329" s="5" t="s">
        <v>13</v>
      </c>
      <c r="C1329" s="2" t="s">
        <v>1062</v>
      </c>
      <c r="D1329" s="2" t="s">
        <v>16</v>
      </c>
      <c r="E1329" s="2" t="s">
        <v>14</v>
      </c>
      <c r="F1329" s="6">
        <v>0.0</v>
      </c>
      <c r="G1329" s="7">
        <v>1680.0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>
      <c r="A1330" s="5" t="s">
        <v>12</v>
      </c>
      <c r="B1330" s="5" t="s">
        <v>13</v>
      </c>
      <c r="C1330" s="2" t="s">
        <v>1063</v>
      </c>
      <c r="D1330" s="2" t="s">
        <v>16</v>
      </c>
      <c r="E1330" s="2" t="s">
        <v>80</v>
      </c>
      <c r="F1330" s="6">
        <v>0.0</v>
      </c>
      <c r="G1330" s="7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>
      <c r="A1331" s="5" t="s">
        <v>12</v>
      </c>
      <c r="B1331" s="5" t="s">
        <v>13</v>
      </c>
      <c r="C1331" s="2" t="s">
        <v>1064</v>
      </c>
      <c r="D1331" s="2" t="s">
        <v>16</v>
      </c>
      <c r="E1331" s="2" t="s">
        <v>14</v>
      </c>
      <c r="F1331" s="6">
        <v>198000.0</v>
      </c>
      <c r="G1331" s="7">
        <v>23858.0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>
      <c r="A1332" s="5" t="s">
        <v>12</v>
      </c>
      <c r="B1332" s="5" t="s">
        <v>13</v>
      </c>
      <c r="C1332" s="2" t="s">
        <v>1065</v>
      </c>
      <c r="D1332" s="2" t="s">
        <v>16</v>
      </c>
      <c r="E1332" s="2" t="s">
        <v>14</v>
      </c>
      <c r="F1332" s="6">
        <v>0.0</v>
      </c>
      <c r="G1332" s="7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>
      <c r="A1333" s="5" t="s">
        <v>7</v>
      </c>
      <c r="B1333" s="5" t="s">
        <v>13</v>
      </c>
      <c r="C1333" s="2" t="s">
        <v>1066</v>
      </c>
      <c r="D1333" s="2" t="s">
        <v>16</v>
      </c>
      <c r="E1333" s="2" t="s">
        <v>23</v>
      </c>
      <c r="F1333" s="6">
        <v>700000.0</v>
      </c>
      <c r="G1333" s="7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>
      <c r="A1334" s="5" t="s">
        <v>12</v>
      </c>
      <c r="B1334" s="5" t="s">
        <v>13</v>
      </c>
      <c r="C1334" s="2" t="s">
        <v>1066</v>
      </c>
      <c r="D1334" s="2" t="s">
        <v>16</v>
      </c>
      <c r="E1334" s="2" t="s">
        <v>17</v>
      </c>
      <c r="F1334" s="6">
        <v>700000.0</v>
      </c>
      <c r="G1334" s="7">
        <v>86422.0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>
      <c r="A1335" s="5" t="s">
        <v>12</v>
      </c>
      <c r="B1335" s="5" t="s">
        <v>13</v>
      </c>
      <c r="C1335" s="2" t="s">
        <v>1067</v>
      </c>
      <c r="D1335" s="2" t="s">
        <v>32</v>
      </c>
      <c r="E1335" s="2" t="s">
        <v>33</v>
      </c>
      <c r="F1335" s="6">
        <v>150000.0</v>
      </c>
      <c r="G1335" s="7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>
      <c r="A1336" s="5" t="s">
        <v>7</v>
      </c>
      <c r="B1336" s="5" t="s">
        <v>13</v>
      </c>
      <c r="C1336" s="2" t="s">
        <v>1068</v>
      </c>
      <c r="D1336" s="2" t="s">
        <v>37</v>
      </c>
      <c r="E1336" s="2" t="s">
        <v>104</v>
      </c>
      <c r="F1336" s="6">
        <v>1.0E7</v>
      </c>
      <c r="G1336" s="7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>
      <c r="A1337" s="5" t="s">
        <v>12</v>
      </c>
      <c r="B1337" s="5" t="s">
        <v>13</v>
      </c>
      <c r="C1337" s="2" t="s">
        <v>1068</v>
      </c>
      <c r="D1337" s="2" t="s">
        <v>37</v>
      </c>
      <c r="E1337" s="2" t="s">
        <v>84</v>
      </c>
      <c r="F1337" s="6">
        <v>1.0E7</v>
      </c>
      <c r="G1337" s="7">
        <v>8761942.0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>
      <c r="A1338" s="5" t="s">
        <v>12</v>
      </c>
      <c r="B1338" s="5" t="s">
        <v>13</v>
      </c>
      <c r="C1338" s="2" t="s">
        <v>1069</v>
      </c>
      <c r="D1338" s="2" t="s">
        <v>16</v>
      </c>
      <c r="E1338" s="2" t="s">
        <v>14</v>
      </c>
      <c r="F1338" s="6">
        <v>0.0</v>
      </c>
      <c r="G1338" s="7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>
      <c r="A1339" s="5" t="s">
        <v>12</v>
      </c>
      <c r="B1339" s="5" t="s">
        <v>13</v>
      </c>
      <c r="C1339" s="2" t="s">
        <v>1070</v>
      </c>
      <c r="D1339" s="2" t="s">
        <v>16</v>
      </c>
      <c r="E1339" s="2" t="s">
        <v>14</v>
      </c>
      <c r="F1339" s="6">
        <v>0.0</v>
      </c>
      <c r="G1339" s="7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>
      <c r="A1340" s="5" t="s">
        <v>7</v>
      </c>
      <c r="B1340" s="5" t="s">
        <v>8</v>
      </c>
      <c r="C1340" s="2" t="s">
        <v>1071</v>
      </c>
      <c r="D1340" s="2" t="s">
        <v>48</v>
      </c>
      <c r="E1340" s="2" t="s">
        <v>11</v>
      </c>
      <c r="F1340" s="6">
        <v>300000.0</v>
      </c>
      <c r="G1340" s="7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>
      <c r="A1341" s="5" t="s">
        <v>12</v>
      </c>
      <c r="B1341" s="5" t="s">
        <v>13</v>
      </c>
      <c r="C1341" s="2" t="s">
        <v>1071</v>
      </c>
      <c r="D1341" s="2" t="s">
        <v>48</v>
      </c>
      <c r="E1341" s="2" t="s">
        <v>14</v>
      </c>
      <c r="F1341" s="6">
        <v>490000.0</v>
      </c>
      <c r="G1341" s="7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>
      <c r="A1342" s="5" t="s">
        <v>12</v>
      </c>
      <c r="B1342" s="5" t="s">
        <v>8</v>
      </c>
      <c r="C1342" s="2" t="s">
        <v>1071</v>
      </c>
      <c r="D1342" s="2" t="s">
        <v>48</v>
      </c>
      <c r="E1342" s="2" t="s">
        <v>11</v>
      </c>
      <c r="F1342" s="6">
        <v>1692855.0</v>
      </c>
      <c r="G1342" s="7">
        <v>331285.0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>
      <c r="A1343" s="5" t="s">
        <v>12</v>
      </c>
      <c r="B1343" s="5" t="s">
        <v>13</v>
      </c>
      <c r="C1343" s="2" t="s">
        <v>1072</v>
      </c>
      <c r="D1343" s="2" t="s">
        <v>48</v>
      </c>
      <c r="E1343" s="2" t="s">
        <v>14</v>
      </c>
      <c r="F1343" s="6">
        <v>0.0</v>
      </c>
      <c r="G1343" s="7">
        <v>-500000.0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>
      <c r="A1344" s="5" t="s">
        <v>7</v>
      </c>
      <c r="B1344" s="5" t="s">
        <v>13</v>
      </c>
      <c r="C1344" s="2" t="s">
        <v>1073</v>
      </c>
      <c r="D1344" s="2" t="s">
        <v>32</v>
      </c>
      <c r="E1344" s="2" t="s">
        <v>144</v>
      </c>
      <c r="F1344" s="6">
        <v>1350000.0</v>
      </c>
      <c r="G1344" s="7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>
      <c r="A1345" s="5" t="s">
        <v>12</v>
      </c>
      <c r="B1345" s="5" t="s">
        <v>13</v>
      </c>
      <c r="C1345" s="2" t="s">
        <v>1073</v>
      </c>
      <c r="D1345" s="2" t="s">
        <v>32</v>
      </c>
      <c r="E1345" s="2" t="s">
        <v>49</v>
      </c>
      <c r="F1345" s="6">
        <v>1750000.0</v>
      </c>
      <c r="G1345" s="7">
        <v>18.0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>
      <c r="A1346" s="5" t="s">
        <v>12</v>
      </c>
      <c r="B1346" s="5" t="s">
        <v>13</v>
      </c>
      <c r="C1346" s="2" t="s">
        <v>1074</v>
      </c>
      <c r="D1346" s="2" t="s">
        <v>16</v>
      </c>
      <c r="E1346" s="2" t="s">
        <v>14</v>
      </c>
      <c r="F1346" s="6">
        <v>0.0</v>
      </c>
      <c r="G1346" s="7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>
      <c r="A1347" s="5" t="s">
        <v>7</v>
      </c>
      <c r="B1347" s="5" t="s">
        <v>8</v>
      </c>
      <c r="C1347" s="2" t="s">
        <v>1075</v>
      </c>
      <c r="D1347" s="2" t="s">
        <v>10</v>
      </c>
      <c r="E1347" s="2" t="s">
        <v>49</v>
      </c>
      <c r="F1347" s="6">
        <v>100000.0</v>
      </c>
      <c r="G1347" s="7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>
      <c r="A1348" s="5" t="s">
        <v>12</v>
      </c>
      <c r="B1348" s="5" t="s">
        <v>13</v>
      </c>
      <c r="C1348" s="2" t="s">
        <v>1075</v>
      </c>
      <c r="D1348" s="2" t="s">
        <v>10</v>
      </c>
      <c r="E1348" s="2" t="s">
        <v>14</v>
      </c>
      <c r="F1348" s="6">
        <v>0.0</v>
      </c>
      <c r="G1348" s="7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>
      <c r="A1349" s="5" t="s">
        <v>12</v>
      </c>
      <c r="B1349" s="5" t="s">
        <v>8</v>
      </c>
      <c r="C1349" s="2" t="s">
        <v>1075</v>
      </c>
      <c r="D1349" s="2" t="s">
        <v>10</v>
      </c>
      <c r="E1349" s="2" t="s">
        <v>49</v>
      </c>
      <c r="F1349" s="6">
        <v>184050.0</v>
      </c>
      <c r="G1349" s="7">
        <v>64664.0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>
      <c r="A1350" s="5" t="s">
        <v>7</v>
      </c>
      <c r="B1350" s="5" t="s">
        <v>13</v>
      </c>
      <c r="C1350" s="2" t="s">
        <v>1076</v>
      </c>
      <c r="D1350" s="2" t="s">
        <v>16</v>
      </c>
      <c r="E1350" s="2" t="s">
        <v>763</v>
      </c>
      <c r="F1350" s="6">
        <v>500000.0</v>
      </c>
      <c r="G1350" s="7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5.75" customHeight="1">
      <c r="A1351" s="5" t="s">
        <v>12</v>
      </c>
      <c r="B1351" s="5" t="s">
        <v>13</v>
      </c>
      <c r="C1351" s="2" t="s">
        <v>1076</v>
      </c>
      <c r="D1351" s="2" t="s">
        <v>16</v>
      </c>
      <c r="E1351" s="2" t="s">
        <v>80</v>
      </c>
      <c r="F1351" s="6">
        <v>500000.0</v>
      </c>
      <c r="G1351" s="7">
        <v>49206.0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5.75" customHeight="1">
      <c r="A1352" s="5" t="s">
        <v>12</v>
      </c>
      <c r="B1352" s="5" t="s">
        <v>13</v>
      </c>
      <c r="C1352" s="2" t="s">
        <v>1077</v>
      </c>
      <c r="D1352" s="2" t="s">
        <v>16</v>
      </c>
      <c r="E1352" s="2" t="s">
        <v>14</v>
      </c>
      <c r="F1352" s="6">
        <v>0.0</v>
      </c>
      <c r="G1352" s="7">
        <v>0.0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5.75" customHeight="1">
      <c r="A1353" s="5" t="s">
        <v>7</v>
      </c>
      <c r="B1353" s="5" t="s">
        <v>13</v>
      </c>
      <c r="C1353" s="2" t="s">
        <v>1078</v>
      </c>
      <c r="D1353" s="2" t="s">
        <v>16</v>
      </c>
      <c r="E1353" s="2" t="s">
        <v>144</v>
      </c>
      <c r="F1353" s="6">
        <v>1000000.0</v>
      </c>
      <c r="G1353" s="7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5.75" customHeight="1">
      <c r="A1354" s="5" t="s">
        <v>12</v>
      </c>
      <c r="B1354" s="5" t="s">
        <v>13</v>
      </c>
      <c r="C1354" s="2" t="s">
        <v>1078</v>
      </c>
      <c r="D1354" s="2" t="s">
        <v>16</v>
      </c>
      <c r="E1354" s="2" t="s">
        <v>49</v>
      </c>
      <c r="F1354" s="6">
        <v>1000000.0</v>
      </c>
      <c r="G1354" s="7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5.75" customHeight="1">
      <c r="A1355" s="5" t="s">
        <v>12</v>
      </c>
      <c r="B1355" s="5" t="s">
        <v>13</v>
      </c>
      <c r="C1355" s="2" t="s">
        <v>1079</v>
      </c>
      <c r="D1355" s="2" t="s">
        <v>16</v>
      </c>
      <c r="E1355" s="2" t="s">
        <v>49</v>
      </c>
      <c r="F1355" s="6">
        <v>0.0</v>
      </c>
      <c r="G1355" s="7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5.75" customHeight="1">
      <c r="A1356" s="5" t="s">
        <v>12</v>
      </c>
      <c r="B1356" s="5" t="s">
        <v>13</v>
      </c>
      <c r="C1356" s="2" t="s">
        <v>1080</v>
      </c>
      <c r="D1356" s="2" t="s">
        <v>16</v>
      </c>
      <c r="E1356" s="2" t="s">
        <v>14</v>
      </c>
      <c r="F1356" s="6">
        <v>0.0</v>
      </c>
      <c r="G1356" s="7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5.75" customHeight="1">
      <c r="A1357" s="5" t="s">
        <v>12</v>
      </c>
      <c r="B1357" s="5" t="s">
        <v>13</v>
      </c>
      <c r="C1357" s="2" t="s">
        <v>1081</v>
      </c>
      <c r="D1357" s="2" t="s">
        <v>16</v>
      </c>
      <c r="E1357" s="2" t="s">
        <v>49</v>
      </c>
      <c r="F1357" s="6">
        <v>920000.0</v>
      </c>
      <c r="G1357" s="7">
        <v>0.0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5.75" customHeight="1">
      <c r="A1358" s="5" t="s">
        <v>7</v>
      </c>
      <c r="B1358" s="5" t="s">
        <v>13</v>
      </c>
      <c r="C1358" s="2" t="s">
        <v>1082</v>
      </c>
      <c r="D1358" s="2" t="s">
        <v>88</v>
      </c>
      <c r="E1358" s="2" t="s">
        <v>144</v>
      </c>
      <c r="F1358" s="6">
        <v>2000000.0</v>
      </c>
      <c r="G1358" s="7">
        <v>0.0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5.75" customHeight="1">
      <c r="A1359" s="5" t="s">
        <v>12</v>
      </c>
      <c r="B1359" s="5" t="s">
        <v>13</v>
      </c>
      <c r="C1359" s="2" t="s">
        <v>1082</v>
      </c>
      <c r="D1359" s="2" t="s">
        <v>88</v>
      </c>
      <c r="E1359" s="2" t="s">
        <v>49</v>
      </c>
      <c r="F1359" s="6">
        <v>2020000.0</v>
      </c>
      <c r="G1359" s="7">
        <v>7272.0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5.75" customHeight="1">
      <c r="A1360" s="5" t="s">
        <v>12</v>
      </c>
      <c r="B1360" s="5" t="s">
        <v>13</v>
      </c>
      <c r="C1360" s="2" t="s">
        <v>1083</v>
      </c>
      <c r="D1360" s="2" t="s">
        <v>16</v>
      </c>
      <c r="E1360" s="2" t="s">
        <v>14</v>
      </c>
      <c r="F1360" s="6">
        <v>0.0</v>
      </c>
      <c r="G1360" s="7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5.75" customHeight="1">
      <c r="A1361" s="5" t="s">
        <v>12</v>
      </c>
      <c r="B1361" s="5" t="s">
        <v>13</v>
      </c>
      <c r="C1361" s="2" t="s">
        <v>1084</v>
      </c>
      <c r="D1361" s="2" t="s">
        <v>88</v>
      </c>
      <c r="E1361" s="2" t="s">
        <v>49</v>
      </c>
      <c r="F1361" s="6">
        <v>900000.0</v>
      </c>
      <c r="G1361" s="7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ht="15.75" customHeight="1">
      <c r="A1362" s="5" t="s">
        <v>7</v>
      </c>
      <c r="B1362" s="5" t="s">
        <v>13</v>
      </c>
      <c r="C1362" s="2" t="s">
        <v>1085</v>
      </c>
      <c r="D1362" s="2" t="s">
        <v>83</v>
      </c>
      <c r="E1362" s="2" t="s">
        <v>23</v>
      </c>
      <c r="F1362" s="6">
        <v>3400000.0</v>
      </c>
      <c r="G1362" s="7">
        <v>0.0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5.75" customHeight="1">
      <c r="A1363" s="5" t="s">
        <v>12</v>
      </c>
      <c r="B1363" s="5" t="s">
        <v>13</v>
      </c>
      <c r="C1363" s="2" t="s">
        <v>1085</v>
      </c>
      <c r="D1363" s="2" t="s">
        <v>83</v>
      </c>
      <c r="E1363" s="2" t="s">
        <v>17</v>
      </c>
      <c r="F1363" s="6">
        <v>3400000.0</v>
      </c>
      <c r="G1363" s="7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5.75" customHeight="1">
      <c r="A1364" s="5" t="s">
        <v>7</v>
      </c>
      <c r="B1364" s="5" t="s">
        <v>13</v>
      </c>
      <c r="C1364" s="2" t="s">
        <v>1086</v>
      </c>
      <c r="D1364" s="2" t="s">
        <v>16</v>
      </c>
      <c r="E1364" s="2" t="s">
        <v>14</v>
      </c>
      <c r="F1364" s="6">
        <v>0.0</v>
      </c>
      <c r="G1364" s="7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5.75" customHeight="1">
      <c r="A1365" s="5" t="s">
        <v>12</v>
      </c>
      <c r="B1365" s="5" t="s">
        <v>13</v>
      </c>
      <c r="C1365" s="2" t="s">
        <v>1086</v>
      </c>
      <c r="D1365" s="2" t="s">
        <v>16</v>
      </c>
      <c r="E1365" s="2" t="s">
        <v>17</v>
      </c>
      <c r="F1365" s="6">
        <v>1504000.0</v>
      </c>
      <c r="G1365" s="7">
        <v>2263905.0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5.75" customHeight="1">
      <c r="A1366" s="5" t="s">
        <v>12</v>
      </c>
      <c r="B1366" s="5" t="s">
        <v>13</v>
      </c>
      <c r="C1366" s="2" t="s">
        <v>1087</v>
      </c>
      <c r="D1366" s="2" t="s">
        <v>16</v>
      </c>
      <c r="E1366" s="2" t="s">
        <v>14</v>
      </c>
      <c r="F1366" s="6">
        <v>0.0</v>
      </c>
      <c r="G1366" s="7">
        <v>221376.0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5.75" customHeight="1">
      <c r="A1367" s="5" t="s">
        <v>12</v>
      </c>
      <c r="B1367" s="5" t="s">
        <v>13</v>
      </c>
      <c r="C1367" s="2" t="s">
        <v>1088</v>
      </c>
      <c r="D1367" s="2" t="s">
        <v>48</v>
      </c>
      <c r="E1367" s="2" t="s">
        <v>33</v>
      </c>
      <c r="F1367" s="6">
        <v>1000000.0</v>
      </c>
      <c r="G1367" s="7">
        <v>1384976.0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5.75" customHeight="1">
      <c r="A1368" s="5" t="s">
        <v>7</v>
      </c>
      <c r="B1368" s="5" t="s">
        <v>8</v>
      </c>
      <c r="C1368" s="2" t="s">
        <v>1089</v>
      </c>
      <c r="D1368" s="2" t="s">
        <v>16</v>
      </c>
      <c r="E1368" s="2" t="s">
        <v>55</v>
      </c>
      <c r="F1368" s="6">
        <v>0.0</v>
      </c>
      <c r="G1368" s="7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5.75" customHeight="1">
      <c r="A1369" s="5" t="s">
        <v>12</v>
      </c>
      <c r="B1369" s="5" t="s">
        <v>8</v>
      </c>
      <c r="C1369" s="2" t="s">
        <v>1089</v>
      </c>
      <c r="D1369" s="2" t="s">
        <v>16</v>
      </c>
      <c r="E1369" s="2" t="s">
        <v>55</v>
      </c>
      <c r="F1369" s="6">
        <v>175000.0</v>
      </c>
      <c r="G1369" s="7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5.75" customHeight="1">
      <c r="A1370" s="5" t="s">
        <v>12</v>
      </c>
      <c r="B1370" s="5" t="s">
        <v>13</v>
      </c>
      <c r="C1370" s="2" t="s">
        <v>1090</v>
      </c>
      <c r="D1370" s="2" t="s">
        <v>16</v>
      </c>
      <c r="E1370" s="2" t="s">
        <v>14</v>
      </c>
      <c r="F1370" s="6">
        <v>0.0</v>
      </c>
      <c r="G1370" s="7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ht="15.75" customHeight="1">
      <c r="A1371" s="5" t="s">
        <v>12</v>
      </c>
      <c r="B1371" s="5" t="s">
        <v>13</v>
      </c>
      <c r="C1371" s="2" t="s">
        <v>1091</v>
      </c>
      <c r="D1371" s="2" t="s">
        <v>16</v>
      </c>
      <c r="E1371" s="2" t="s">
        <v>14</v>
      </c>
      <c r="F1371" s="6">
        <v>0.0</v>
      </c>
      <c r="G1371" s="7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ht="15.75" customHeight="1">
      <c r="A1372" s="5" t="s">
        <v>7</v>
      </c>
      <c r="B1372" s="5" t="s">
        <v>13</v>
      </c>
      <c r="C1372" s="2" t="s">
        <v>1092</v>
      </c>
      <c r="D1372" s="2" t="s">
        <v>83</v>
      </c>
      <c r="E1372" s="2" t="s">
        <v>23</v>
      </c>
      <c r="F1372" s="6">
        <v>1.35E7</v>
      </c>
      <c r="G1372" s="7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ht="15.75" customHeight="1">
      <c r="A1373" s="5" t="s">
        <v>12</v>
      </c>
      <c r="B1373" s="5" t="s">
        <v>13</v>
      </c>
      <c r="C1373" s="2" t="s">
        <v>1092</v>
      </c>
      <c r="D1373" s="2" t="s">
        <v>83</v>
      </c>
      <c r="E1373" s="2" t="s">
        <v>17</v>
      </c>
      <c r="F1373" s="6">
        <v>1.35E7</v>
      </c>
      <c r="G1373" s="7">
        <v>9445969.0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ht="15.75" customHeight="1">
      <c r="A1374" s="5" t="s">
        <v>12</v>
      </c>
      <c r="B1374" s="5" t="s">
        <v>13</v>
      </c>
      <c r="C1374" s="2" t="s">
        <v>1093</v>
      </c>
      <c r="D1374" s="2" t="s">
        <v>83</v>
      </c>
      <c r="E1374" s="2" t="s">
        <v>14</v>
      </c>
      <c r="F1374" s="6">
        <v>0.0</v>
      </c>
      <c r="G1374" s="7">
        <v>1.33724E7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ht="15.75" customHeight="1">
      <c r="A1375" s="5" t="s">
        <v>12</v>
      </c>
      <c r="B1375" s="5" t="s">
        <v>13</v>
      </c>
      <c r="C1375" s="2" t="s">
        <v>1094</v>
      </c>
      <c r="D1375" s="2" t="s">
        <v>83</v>
      </c>
      <c r="E1375" s="2" t="s">
        <v>14</v>
      </c>
      <c r="F1375" s="6">
        <v>0.0</v>
      </c>
      <c r="G1375" s="7">
        <v>1.71165E7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ht="15.75" customHeight="1">
      <c r="A1376" s="5" t="s">
        <v>12</v>
      </c>
      <c r="B1376" s="5" t="s">
        <v>13</v>
      </c>
      <c r="C1376" s="2" t="s">
        <v>1095</v>
      </c>
      <c r="D1376" s="2" t="s">
        <v>16</v>
      </c>
      <c r="E1376" s="2" t="s">
        <v>14</v>
      </c>
      <c r="F1376" s="6">
        <v>0.0</v>
      </c>
      <c r="G1376" s="7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ht="15.75" customHeight="1">
      <c r="A1377" s="5" t="s">
        <v>7</v>
      </c>
      <c r="B1377" s="5" t="s">
        <v>13</v>
      </c>
      <c r="C1377" s="2" t="s">
        <v>1096</v>
      </c>
      <c r="D1377" s="2" t="s">
        <v>32</v>
      </c>
      <c r="E1377" s="2" t="s">
        <v>144</v>
      </c>
      <c r="F1377" s="6">
        <v>500000.0</v>
      </c>
      <c r="G1377" s="7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ht="15.75" customHeight="1">
      <c r="A1378" s="5" t="s">
        <v>12</v>
      </c>
      <c r="B1378" s="5" t="s">
        <v>13</v>
      </c>
      <c r="C1378" s="2" t="s">
        <v>1096</v>
      </c>
      <c r="D1378" s="2" t="s">
        <v>32</v>
      </c>
      <c r="E1378" s="2" t="s">
        <v>49</v>
      </c>
      <c r="F1378" s="6">
        <v>500000.0</v>
      </c>
      <c r="G1378" s="7">
        <v>588.0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ht="15.75" customHeight="1">
      <c r="A1379" s="5" t="s">
        <v>12</v>
      </c>
      <c r="B1379" s="5" t="s">
        <v>13</v>
      </c>
      <c r="C1379" s="2" t="s">
        <v>1097</v>
      </c>
      <c r="D1379" s="2" t="s">
        <v>16</v>
      </c>
      <c r="E1379" s="2" t="s">
        <v>14</v>
      </c>
      <c r="F1379" s="6">
        <v>0.0</v>
      </c>
      <c r="G1379" s="7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ht="15.75" customHeight="1">
      <c r="A1380" s="5" t="s">
        <v>12</v>
      </c>
      <c r="B1380" s="5" t="s">
        <v>13</v>
      </c>
      <c r="C1380" s="2" t="s">
        <v>1098</v>
      </c>
      <c r="D1380" s="2" t="s">
        <v>32</v>
      </c>
      <c r="E1380" s="2" t="s">
        <v>80</v>
      </c>
      <c r="F1380" s="6">
        <v>160000.0</v>
      </c>
      <c r="G1380" s="7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ht="15.75" customHeight="1">
      <c r="A1381" s="5" t="s">
        <v>12</v>
      </c>
      <c r="B1381" s="5" t="s">
        <v>13</v>
      </c>
      <c r="C1381" s="2" t="s">
        <v>1099</v>
      </c>
      <c r="D1381" s="2" t="s">
        <v>32</v>
      </c>
      <c r="E1381" s="2" t="s">
        <v>1100</v>
      </c>
      <c r="F1381" s="6">
        <v>100000.0</v>
      </c>
      <c r="G1381" s="7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ht="15.75" customHeight="1">
      <c r="A1382" s="5" t="s">
        <v>12</v>
      </c>
      <c r="B1382" s="5" t="s">
        <v>8</v>
      </c>
      <c r="C1382" s="2" t="s">
        <v>1101</v>
      </c>
      <c r="D1382" s="2" t="s">
        <v>48</v>
      </c>
      <c r="E1382" s="2" t="s">
        <v>11</v>
      </c>
      <c r="F1382" s="6">
        <v>2500000.0</v>
      </c>
      <c r="G1382" s="7">
        <v>1108043.0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ht="15.75" customHeight="1">
      <c r="A1383" s="5" t="s">
        <v>12</v>
      </c>
      <c r="B1383" s="5" t="s">
        <v>13</v>
      </c>
      <c r="C1383" s="2" t="s">
        <v>1102</v>
      </c>
      <c r="D1383" s="2" t="s">
        <v>16</v>
      </c>
      <c r="E1383" s="2" t="s">
        <v>14</v>
      </c>
      <c r="F1383" s="6">
        <v>1300000.0</v>
      </c>
      <c r="G1383" s="7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ht="15.75" customHeight="1">
      <c r="A1384" s="5" t="s">
        <v>12</v>
      </c>
      <c r="B1384" s="5" t="s">
        <v>8</v>
      </c>
      <c r="C1384" s="2" t="s">
        <v>1103</v>
      </c>
      <c r="D1384" s="2" t="s">
        <v>48</v>
      </c>
      <c r="E1384" s="2" t="s">
        <v>14</v>
      </c>
      <c r="F1384" s="6">
        <v>1850000.0</v>
      </c>
      <c r="G1384" s="7">
        <v>1501167.14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ht="15.75" customHeight="1">
      <c r="A1385" s="5" t="s">
        <v>12</v>
      </c>
      <c r="B1385" s="5" t="s">
        <v>8</v>
      </c>
      <c r="C1385" s="2" t="s">
        <v>1104</v>
      </c>
      <c r="D1385" s="2" t="s">
        <v>16</v>
      </c>
      <c r="E1385" s="2" t="s">
        <v>14</v>
      </c>
      <c r="F1385" s="6">
        <v>0.0</v>
      </c>
      <c r="G1385" s="7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ht="15.75" customHeight="1">
      <c r="A1386" s="5" t="s">
        <v>12</v>
      </c>
      <c r="B1386" s="5" t="s">
        <v>13</v>
      </c>
      <c r="C1386" s="2" t="s">
        <v>1105</v>
      </c>
      <c r="D1386" s="2" t="s">
        <v>16</v>
      </c>
      <c r="E1386" s="2" t="s">
        <v>14</v>
      </c>
      <c r="F1386" s="6">
        <v>0.0</v>
      </c>
      <c r="G1386" s="7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ht="15.75" customHeight="1">
      <c r="A1387" s="5" t="s">
        <v>12</v>
      </c>
      <c r="B1387" s="5" t="s">
        <v>13</v>
      </c>
      <c r="C1387" s="2" t="s">
        <v>1106</v>
      </c>
      <c r="D1387" s="2" t="s">
        <v>16</v>
      </c>
      <c r="E1387" s="2" t="s">
        <v>11</v>
      </c>
      <c r="F1387" s="6">
        <v>700000.0</v>
      </c>
      <c r="G1387" s="7">
        <v>74601.0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ht="15.75" customHeight="1">
      <c r="A1388" s="5" t="s">
        <v>12</v>
      </c>
      <c r="B1388" s="5" t="s">
        <v>13</v>
      </c>
      <c r="C1388" s="2" t="s">
        <v>1107</v>
      </c>
      <c r="D1388" s="2" t="s">
        <v>16</v>
      </c>
      <c r="E1388" s="2" t="s">
        <v>14</v>
      </c>
      <c r="F1388" s="6">
        <v>0.0</v>
      </c>
      <c r="G1388" s="7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ht="15.75" customHeight="1">
      <c r="A1389" s="5" t="s">
        <v>12</v>
      </c>
      <c r="B1389" s="5" t="s">
        <v>13</v>
      </c>
      <c r="C1389" s="2" t="s">
        <v>1108</v>
      </c>
      <c r="D1389" s="2" t="s">
        <v>16</v>
      </c>
      <c r="E1389" s="2" t="s">
        <v>14</v>
      </c>
      <c r="F1389" s="6">
        <v>0.0</v>
      </c>
      <c r="G1389" s="7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ht="15.75" customHeight="1">
      <c r="A1390" s="5" t="s">
        <v>12</v>
      </c>
      <c r="B1390" s="5" t="s">
        <v>8</v>
      </c>
      <c r="C1390" s="2" t="s">
        <v>1109</v>
      </c>
      <c r="D1390" s="2" t="s">
        <v>16</v>
      </c>
      <c r="E1390" s="2" t="s">
        <v>49</v>
      </c>
      <c r="F1390" s="6">
        <v>50000.0</v>
      </c>
      <c r="G1390" s="7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ht="15.75" customHeight="1">
      <c r="A1391" s="5" t="s">
        <v>12</v>
      </c>
      <c r="B1391" s="5" t="s">
        <v>13</v>
      </c>
      <c r="C1391" s="2" t="s">
        <v>1110</v>
      </c>
      <c r="D1391" s="2" t="s">
        <v>16</v>
      </c>
      <c r="E1391" s="2" t="s">
        <v>14</v>
      </c>
      <c r="F1391" s="6">
        <v>227000.0</v>
      </c>
      <c r="G1391" s="7">
        <v>-100000.0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ht="15.75" customHeight="1">
      <c r="A1392" s="5" t="s">
        <v>12</v>
      </c>
      <c r="B1392" s="5" t="s">
        <v>8</v>
      </c>
      <c r="C1392" s="2" t="s">
        <v>1110</v>
      </c>
      <c r="D1392" s="2" t="s">
        <v>16</v>
      </c>
      <c r="E1392" s="2" t="s">
        <v>49</v>
      </c>
      <c r="F1392" s="6">
        <v>50000.0</v>
      </c>
      <c r="G1392" s="7">
        <v>381330.0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ht="15.75" customHeight="1">
      <c r="A1393" s="5" t="s">
        <v>12</v>
      </c>
      <c r="B1393" s="5" t="s">
        <v>8</v>
      </c>
      <c r="C1393" s="2" t="s">
        <v>1111</v>
      </c>
      <c r="D1393" s="2" t="s">
        <v>48</v>
      </c>
      <c r="E1393" s="2" t="s">
        <v>55</v>
      </c>
      <c r="F1393" s="6">
        <v>1500000.0</v>
      </c>
      <c r="G1393" s="7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ht="15.75" customHeight="1">
      <c r="A1394" s="5" t="s">
        <v>7</v>
      </c>
      <c r="B1394" s="5" t="s">
        <v>8</v>
      </c>
      <c r="C1394" s="2" t="s">
        <v>1112</v>
      </c>
      <c r="D1394" s="2" t="s">
        <v>48</v>
      </c>
      <c r="E1394" s="2" t="s">
        <v>14</v>
      </c>
      <c r="F1394" s="6">
        <v>0.0</v>
      </c>
      <c r="G1394" s="7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ht="15.75" customHeight="1">
      <c r="A1395" s="5" t="s">
        <v>12</v>
      </c>
      <c r="B1395" s="5" t="s">
        <v>13</v>
      </c>
      <c r="C1395" s="2" t="s">
        <v>1113</v>
      </c>
      <c r="D1395" s="2" t="s">
        <v>16</v>
      </c>
      <c r="E1395" s="2" t="s">
        <v>49</v>
      </c>
      <c r="F1395" s="6">
        <v>2148000.0</v>
      </c>
      <c r="G1395" s="7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ht="15.75" customHeight="1">
      <c r="A1396" s="5" t="s">
        <v>7</v>
      </c>
      <c r="B1396" s="5" t="s">
        <v>13</v>
      </c>
      <c r="C1396" s="2" t="s">
        <v>1114</v>
      </c>
      <c r="D1396" s="2" t="s">
        <v>88</v>
      </c>
      <c r="E1396" s="2" t="s">
        <v>223</v>
      </c>
      <c r="F1396" s="6">
        <v>6000000.0</v>
      </c>
      <c r="G1396" s="7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ht="15.75" customHeight="1">
      <c r="A1397" s="5" t="s">
        <v>12</v>
      </c>
      <c r="B1397" s="5" t="s">
        <v>13</v>
      </c>
      <c r="C1397" s="2" t="s">
        <v>1114</v>
      </c>
      <c r="D1397" s="2" t="s">
        <v>88</v>
      </c>
      <c r="E1397" s="2" t="s">
        <v>96</v>
      </c>
      <c r="F1397" s="6">
        <v>6000000.0</v>
      </c>
      <c r="G1397" s="7">
        <v>5488351.0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ht="15.75" customHeight="1">
      <c r="A1398" s="5" t="s">
        <v>12</v>
      </c>
      <c r="B1398" s="5" t="s">
        <v>13</v>
      </c>
      <c r="C1398" s="2" t="s">
        <v>1115</v>
      </c>
      <c r="D1398" s="2" t="s">
        <v>16</v>
      </c>
      <c r="E1398" s="2" t="s">
        <v>14</v>
      </c>
      <c r="F1398" s="6">
        <v>0.0</v>
      </c>
      <c r="G1398" s="7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ht="15.75" customHeight="1">
      <c r="A1399" s="5" t="s">
        <v>12</v>
      </c>
      <c r="B1399" s="5" t="s">
        <v>13</v>
      </c>
      <c r="C1399" s="2" t="s">
        <v>1116</v>
      </c>
      <c r="D1399" s="2" t="s">
        <v>88</v>
      </c>
      <c r="E1399" s="2" t="s">
        <v>14</v>
      </c>
      <c r="F1399" s="6">
        <v>0.0</v>
      </c>
      <c r="G1399" s="7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ht="15.75" customHeight="1">
      <c r="A1400" s="5" t="s">
        <v>12</v>
      </c>
      <c r="B1400" s="5" t="s">
        <v>13</v>
      </c>
      <c r="C1400" s="2" t="s">
        <v>1117</v>
      </c>
      <c r="D1400" s="2" t="s">
        <v>16</v>
      </c>
      <c r="E1400" s="2" t="s">
        <v>14</v>
      </c>
      <c r="F1400" s="6">
        <v>0.0</v>
      </c>
      <c r="G1400" s="7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ht="15.75" customHeight="1">
      <c r="A1401" s="5" t="s">
        <v>12</v>
      </c>
      <c r="B1401" s="5" t="s">
        <v>8</v>
      </c>
      <c r="C1401" s="2" t="s">
        <v>1117</v>
      </c>
      <c r="D1401" s="2" t="s">
        <v>16</v>
      </c>
      <c r="E1401" s="2" t="s">
        <v>74</v>
      </c>
      <c r="F1401" s="6">
        <v>0.0</v>
      </c>
      <c r="G1401" s="7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ht="15.75" customHeight="1">
      <c r="A1402" s="5" t="s">
        <v>12</v>
      </c>
      <c r="B1402" s="5" t="s">
        <v>13</v>
      </c>
      <c r="C1402" s="2" t="s">
        <v>1118</v>
      </c>
      <c r="D1402" s="2" t="s">
        <v>37</v>
      </c>
      <c r="E1402" s="2" t="s">
        <v>33</v>
      </c>
      <c r="F1402" s="6">
        <v>1000000.0</v>
      </c>
      <c r="G1402" s="7">
        <v>2704474.0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ht="15.75" customHeight="1">
      <c r="A1403" s="5" t="s">
        <v>12</v>
      </c>
      <c r="B1403" s="5" t="s">
        <v>13</v>
      </c>
      <c r="C1403" s="2" t="s">
        <v>1119</v>
      </c>
      <c r="D1403" s="2" t="s">
        <v>37</v>
      </c>
      <c r="E1403" s="2" t="s">
        <v>14</v>
      </c>
      <c r="F1403" s="6">
        <v>0.0</v>
      </c>
      <c r="G1403" s="7">
        <v>672500.0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ht="15.75" customHeight="1">
      <c r="A1404" s="5" t="s">
        <v>12</v>
      </c>
      <c r="B1404" s="5" t="s">
        <v>13</v>
      </c>
      <c r="C1404" s="2" t="s">
        <v>1120</v>
      </c>
      <c r="D1404" s="2" t="s">
        <v>16</v>
      </c>
      <c r="E1404" s="2" t="s">
        <v>14</v>
      </c>
      <c r="F1404" s="6">
        <v>0.0</v>
      </c>
      <c r="G1404" s="7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ht="15.75" customHeight="1">
      <c r="A1405" s="5" t="s">
        <v>7</v>
      </c>
      <c r="B1405" s="5" t="s">
        <v>13</v>
      </c>
      <c r="C1405" s="2" t="s">
        <v>1121</v>
      </c>
      <c r="D1405" s="2" t="s">
        <v>83</v>
      </c>
      <c r="E1405" s="2" t="s">
        <v>14</v>
      </c>
      <c r="F1405" s="6">
        <v>0.0</v>
      </c>
      <c r="G1405" s="7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ht="15.75" customHeight="1">
      <c r="A1406" s="5" t="s">
        <v>12</v>
      </c>
      <c r="B1406" s="5" t="s">
        <v>13</v>
      </c>
      <c r="C1406" s="2" t="s">
        <v>1121</v>
      </c>
      <c r="D1406" s="2" t="s">
        <v>83</v>
      </c>
      <c r="E1406" s="2" t="s">
        <v>17</v>
      </c>
      <c r="F1406" s="6">
        <v>3500000.0</v>
      </c>
      <c r="G1406" s="7">
        <v>1323764.4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ht="15.75" customHeight="1">
      <c r="A1407" s="5" t="s">
        <v>12</v>
      </c>
      <c r="B1407" s="5" t="s">
        <v>13</v>
      </c>
      <c r="C1407" s="2" t="s">
        <v>1122</v>
      </c>
      <c r="D1407" s="2" t="s">
        <v>16</v>
      </c>
      <c r="E1407" s="2" t="s">
        <v>14</v>
      </c>
      <c r="F1407" s="6">
        <v>0.0</v>
      </c>
      <c r="G1407" s="7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ht="15.75" customHeight="1">
      <c r="A1408" s="5" t="s">
        <v>12</v>
      </c>
      <c r="B1408" s="5" t="s">
        <v>13</v>
      </c>
      <c r="C1408" s="2" t="s">
        <v>1123</v>
      </c>
      <c r="D1408" s="2" t="s">
        <v>16</v>
      </c>
      <c r="E1408" s="2" t="s">
        <v>14</v>
      </c>
      <c r="F1408" s="6">
        <v>0.0</v>
      </c>
      <c r="G1408" s="7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ht="15.75" customHeight="1">
      <c r="A1409" s="5" t="s">
        <v>7</v>
      </c>
      <c r="B1409" s="5" t="s">
        <v>13</v>
      </c>
      <c r="C1409" s="2" t="s">
        <v>1124</v>
      </c>
      <c r="D1409" s="2" t="s">
        <v>48</v>
      </c>
      <c r="E1409" s="2" t="s">
        <v>14</v>
      </c>
      <c r="F1409" s="6">
        <v>0.0</v>
      </c>
      <c r="G1409" s="7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ht="15.75" customHeight="1">
      <c r="A1410" s="5" t="s">
        <v>12</v>
      </c>
      <c r="B1410" s="5" t="s">
        <v>13</v>
      </c>
      <c r="C1410" s="2" t="s">
        <v>1124</v>
      </c>
      <c r="D1410" s="2" t="s">
        <v>48</v>
      </c>
      <c r="E1410" s="2" t="s">
        <v>14</v>
      </c>
      <c r="F1410" s="6">
        <v>0.0</v>
      </c>
      <c r="G1410" s="7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ht="15.75" customHeight="1">
      <c r="A1411" s="5" t="s">
        <v>12</v>
      </c>
      <c r="B1411" s="5" t="s">
        <v>13</v>
      </c>
      <c r="C1411" s="2" t="s">
        <v>1125</v>
      </c>
      <c r="D1411" s="2" t="s">
        <v>48</v>
      </c>
      <c r="E1411" s="2" t="s">
        <v>14</v>
      </c>
      <c r="F1411" s="6">
        <v>225000.0</v>
      </c>
      <c r="G1411" s="7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ht="15.75" customHeight="1">
      <c r="A1412" s="5" t="s">
        <v>12</v>
      </c>
      <c r="B1412" s="5" t="s">
        <v>13</v>
      </c>
      <c r="C1412" s="2" t="s">
        <v>1126</v>
      </c>
      <c r="D1412" s="2" t="s">
        <v>16</v>
      </c>
      <c r="E1412" s="2" t="s">
        <v>14</v>
      </c>
      <c r="F1412" s="6">
        <v>0.0</v>
      </c>
      <c r="G1412" s="7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ht="15.75" customHeight="1">
      <c r="A1413" s="5" t="s">
        <v>12</v>
      </c>
      <c r="B1413" s="5" t="s">
        <v>13</v>
      </c>
      <c r="C1413" s="2" t="s">
        <v>1127</v>
      </c>
      <c r="D1413" s="2" t="s">
        <v>16</v>
      </c>
      <c r="E1413" s="2" t="s">
        <v>49</v>
      </c>
      <c r="F1413" s="6">
        <v>0.0</v>
      </c>
      <c r="G1413" s="7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ht="15.75" customHeight="1">
      <c r="A1414" s="5" t="s">
        <v>12</v>
      </c>
      <c r="B1414" s="5" t="s">
        <v>13</v>
      </c>
      <c r="C1414" s="2" t="s">
        <v>1128</v>
      </c>
      <c r="D1414" s="2" t="s">
        <v>48</v>
      </c>
      <c r="E1414" s="2" t="s">
        <v>14</v>
      </c>
      <c r="F1414" s="6">
        <v>951000.0</v>
      </c>
      <c r="G1414" s="7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ht="15.75" customHeight="1">
      <c r="A1415" s="5" t="s">
        <v>12</v>
      </c>
      <c r="B1415" s="5" t="s">
        <v>8</v>
      </c>
      <c r="C1415" s="2" t="s">
        <v>1128</v>
      </c>
      <c r="D1415" s="2" t="s">
        <v>48</v>
      </c>
      <c r="E1415" s="2" t="s">
        <v>14</v>
      </c>
      <c r="F1415" s="6">
        <v>900000.0</v>
      </c>
      <c r="G1415" s="7">
        <v>-4260.0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ht="15.75" customHeight="1">
      <c r="A1416" s="5" t="s">
        <v>12</v>
      </c>
      <c r="B1416" s="5" t="s">
        <v>13</v>
      </c>
      <c r="C1416" s="2" t="s">
        <v>1129</v>
      </c>
      <c r="D1416" s="2" t="s">
        <v>16</v>
      </c>
      <c r="E1416" s="2" t="s">
        <v>14</v>
      </c>
      <c r="F1416" s="6">
        <v>286000.0</v>
      </c>
      <c r="G1416" s="7">
        <v>-6973.0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ht="15.75" customHeight="1">
      <c r="A1417" s="5" t="s">
        <v>12</v>
      </c>
      <c r="B1417" s="5" t="s">
        <v>13</v>
      </c>
      <c r="C1417" s="2" t="s">
        <v>1130</v>
      </c>
      <c r="D1417" s="2" t="s">
        <v>16</v>
      </c>
      <c r="E1417" s="2" t="s">
        <v>14</v>
      </c>
      <c r="F1417" s="6">
        <v>300000.0</v>
      </c>
      <c r="G1417" s="7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ht="15.75" customHeight="1">
      <c r="A1418" s="5" t="s">
        <v>7</v>
      </c>
      <c r="B1418" s="5" t="s">
        <v>13</v>
      </c>
      <c r="C1418" s="2" t="s">
        <v>1131</v>
      </c>
      <c r="D1418" s="2" t="s">
        <v>32</v>
      </c>
      <c r="E1418" s="2" t="s">
        <v>144</v>
      </c>
      <c r="F1418" s="6">
        <v>1000000.0</v>
      </c>
      <c r="G1418" s="7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ht="15.75" customHeight="1">
      <c r="A1419" s="5" t="s">
        <v>12</v>
      </c>
      <c r="B1419" s="5" t="s">
        <v>13</v>
      </c>
      <c r="C1419" s="2" t="s">
        <v>1131</v>
      </c>
      <c r="D1419" s="2" t="s">
        <v>32</v>
      </c>
      <c r="E1419" s="2" t="s">
        <v>49</v>
      </c>
      <c r="F1419" s="6">
        <v>1000000.0</v>
      </c>
      <c r="G1419" s="7">
        <v>215220.0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ht="15.75" customHeight="1">
      <c r="A1420" s="5" t="s">
        <v>12</v>
      </c>
      <c r="B1420" s="5" t="s">
        <v>13</v>
      </c>
      <c r="C1420" s="2" t="s">
        <v>115</v>
      </c>
      <c r="D1420" s="2" t="s">
        <v>16</v>
      </c>
      <c r="E1420" s="2" t="s">
        <v>14</v>
      </c>
      <c r="F1420" s="6">
        <v>0.0</v>
      </c>
      <c r="G1420" s="7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ht="15.75" customHeight="1">
      <c r="A1421" s="5" t="s">
        <v>12</v>
      </c>
      <c r="B1421" s="5" t="s">
        <v>13</v>
      </c>
      <c r="C1421" s="2" t="s">
        <v>1132</v>
      </c>
      <c r="D1421" s="2" t="s">
        <v>16</v>
      </c>
      <c r="E1421" s="2" t="s">
        <v>14</v>
      </c>
      <c r="F1421" s="6">
        <v>0.0</v>
      </c>
      <c r="G1421" s="7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ht="15.75" customHeight="1">
      <c r="A1422" s="5" t="s">
        <v>12</v>
      </c>
      <c r="B1422" s="5" t="s">
        <v>13</v>
      </c>
      <c r="C1422" s="2" t="s">
        <v>1133</v>
      </c>
      <c r="D1422" s="2" t="s">
        <v>16</v>
      </c>
      <c r="E1422" s="2" t="s">
        <v>14</v>
      </c>
      <c r="F1422" s="6">
        <v>0.0</v>
      </c>
      <c r="G1422" s="7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ht="15.75" customHeight="1">
      <c r="A1423" s="5" t="s">
        <v>12</v>
      </c>
      <c r="B1423" s="5" t="s">
        <v>13</v>
      </c>
      <c r="C1423" s="2" t="s">
        <v>1134</v>
      </c>
      <c r="D1423" s="2" t="s">
        <v>16</v>
      </c>
      <c r="E1423" s="2" t="s">
        <v>49</v>
      </c>
      <c r="F1423" s="6">
        <v>0.0</v>
      </c>
      <c r="G1423" s="7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ht="15.75" customHeight="1">
      <c r="A1424" s="5" t="s">
        <v>7</v>
      </c>
      <c r="B1424" s="5" t="s">
        <v>13</v>
      </c>
      <c r="C1424" s="2" t="s">
        <v>1135</v>
      </c>
      <c r="D1424" s="2" t="s">
        <v>32</v>
      </c>
      <c r="E1424" s="2" t="s">
        <v>17</v>
      </c>
      <c r="F1424" s="6">
        <v>2000000.0</v>
      </c>
      <c r="G1424" s="7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ht="15.75" customHeight="1">
      <c r="A1425" s="5" t="s">
        <v>12</v>
      </c>
      <c r="B1425" s="5" t="s">
        <v>13</v>
      </c>
      <c r="C1425" s="2" t="s">
        <v>1135</v>
      </c>
      <c r="D1425" s="2" t="s">
        <v>32</v>
      </c>
      <c r="E1425" s="2" t="s">
        <v>17</v>
      </c>
      <c r="F1425" s="6">
        <v>2000000.0</v>
      </c>
      <c r="G1425" s="7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ht="15.75" customHeight="1">
      <c r="A1426" s="5" t="s">
        <v>12</v>
      </c>
      <c r="B1426" s="5" t="s">
        <v>13</v>
      </c>
      <c r="C1426" s="2" t="s">
        <v>1136</v>
      </c>
      <c r="D1426" s="2" t="s">
        <v>16</v>
      </c>
      <c r="E1426" s="2" t="s">
        <v>14</v>
      </c>
      <c r="F1426" s="6">
        <v>0.0</v>
      </c>
      <c r="G1426" s="7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ht="15.75" customHeight="1">
      <c r="A1427" s="5" t="s">
        <v>12</v>
      </c>
      <c r="B1427" s="5" t="s">
        <v>13</v>
      </c>
      <c r="C1427" s="2" t="s">
        <v>1137</v>
      </c>
      <c r="D1427" s="2" t="s">
        <v>16</v>
      </c>
      <c r="E1427" s="2" t="s">
        <v>14</v>
      </c>
      <c r="F1427" s="6">
        <v>0.0</v>
      </c>
      <c r="G1427" s="7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ht="15.75" customHeight="1">
      <c r="A1428" s="5" t="s">
        <v>12</v>
      </c>
      <c r="B1428" s="5" t="s">
        <v>13</v>
      </c>
      <c r="C1428" s="2" t="s">
        <v>1138</v>
      </c>
      <c r="D1428" s="2" t="s">
        <v>16</v>
      </c>
      <c r="E1428" s="2" t="s">
        <v>14</v>
      </c>
      <c r="F1428" s="6">
        <v>0.0</v>
      </c>
      <c r="G1428" s="7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ht="15.75" customHeight="1">
      <c r="A1429" s="5" t="s">
        <v>7</v>
      </c>
      <c r="B1429" s="5" t="s">
        <v>13</v>
      </c>
      <c r="C1429" s="2" t="s">
        <v>1139</v>
      </c>
      <c r="D1429" s="2" t="s">
        <v>37</v>
      </c>
      <c r="E1429" s="2" t="s">
        <v>23</v>
      </c>
      <c r="F1429" s="6">
        <v>2500000.0</v>
      </c>
      <c r="G1429" s="7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ht="15.75" customHeight="1">
      <c r="A1430" s="5" t="s">
        <v>12</v>
      </c>
      <c r="B1430" s="5" t="s">
        <v>13</v>
      </c>
      <c r="C1430" s="2" t="s">
        <v>1139</v>
      </c>
      <c r="D1430" s="2" t="s">
        <v>37</v>
      </c>
      <c r="E1430" s="2" t="s">
        <v>17</v>
      </c>
      <c r="F1430" s="6">
        <v>2500000.0</v>
      </c>
      <c r="G1430" s="7">
        <v>1352910.0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ht="15.75" customHeight="1">
      <c r="A1431" s="5" t="s">
        <v>12</v>
      </c>
      <c r="B1431" s="5" t="s">
        <v>13</v>
      </c>
      <c r="C1431" s="2" t="s">
        <v>1140</v>
      </c>
      <c r="D1431" s="2" t="s">
        <v>37</v>
      </c>
      <c r="E1431" s="2" t="s">
        <v>14</v>
      </c>
      <c r="F1431" s="6">
        <v>0.0</v>
      </c>
      <c r="G1431" s="7">
        <v>4248000.0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ht="15.75" customHeight="1">
      <c r="A1432" s="5" t="s">
        <v>12</v>
      </c>
      <c r="B1432" s="5" t="s">
        <v>13</v>
      </c>
      <c r="C1432" s="2" t="s">
        <v>1141</v>
      </c>
      <c r="D1432" s="2" t="s">
        <v>16</v>
      </c>
      <c r="E1432" s="2" t="s">
        <v>49</v>
      </c>
      <c r="F1432" s="6">
        <v>0.0</v>
      </c>
      <c r="G1432" s="7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ht="15.75" customHeight="1">
      <c r="A1433" s="5" t="s">
        <v>12</v>
      </c>
      <c r="B1433" s="5" t="s">
        <v>13</v>
      </c>
      <c r="C1433" s="2" t="s">
        <v>1142</v>
      </c>
      <c r="D1433" s="2" t="s">
        <v>16</v>
      </c>
      <c r="E1433" s="2" t="s">
        <v>14</v>
      </c>
      <c r="F1433" s="6">
        <v>0.0</v>
      </c>
      <c r="G1433" s="7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ht="15.75" customHeight="1">
      <c r="A1434" s="5" t="s">
        <v>12</v>
      </c>
      <c r="B1434" s="5" t="s">
        <v>13</v>
      </c>
      <c r="C1434" s="2" t="s">
        <v>1143</v>
      </c>
      <c r="D1434" s="2" t="s">
        <v>16</v>
      </c>
      <c r="E1434" s="2" t="s">
        <v>14</v>
      </c>
      <c r="F1434" s="6">
        <v>0.0</v>
      </c>
      <c r="G1434" s="7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ht="15.75" customHeight="1">
      <c r="A1435" s="5" t="s">
        <v>12</v>
      </c>
      <c r="B1435" s="5" t="s">
        <v>13</v>
      </c>
      <c r="C1435" s="2" t="s">
        <v>1144</v>
      </c>
      <c r="D1435" s="2" t="s">
        <v>16</v>
      </c>
      <c r="E1435" s="2" t="s">
        <v>14</v>
      </c>
      <c r="F1435" s="6">
        <v>0.0</v>
      </c>
      <c r="G1435" s="7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ht="15.75" customHeight="1">
      <c r="A1436" s="5" t="s">
        <v>12</v>
      </c>
      <c r="B1436" s="5" t="s">
        <v>13</v>
      </c>
      <c r="C1436" s="2" t="s">
        <v>1145</v>
      </c>
      <c r="D1436" s="2" t="s">
        <v>16</v>
      </c>
      <c r="E1436" s="2" t="s">
        <v>14</v>
      </c>
      <c r="F1436" s="6">
        <v>0.0</v>
      </c>
      <c r="G1436" s="7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ht="15.75" customHeight="1">
      <c r="A1437" s="5" t="s">
        <v>7</v>
      </c>
      <c r="B1437" s="5" t="s">
        <v>13</v>
      </c>
      <c r="C1437" s="2" t="s">
        <v>1146</v>
      </c>
      <c r="D1437" s="2" t="s">
        <v>32</v>
      </c>
      <c r="E1437" s="2" t="s">
        <v>98</v>
      </c>
      <c r="F1437" s="6">
        <v>5555000.0</v>
      </c>
      <c r="G1437" s="7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ht="15.75" customHeight="1">
      <c r="A1438" s="5" t="s">
        <v>12</v>
      </c>
      <c r="B1438" s="5" t="s">
        <v>13</v>
      </c>
      <c r="C1438" s="2" t="s">
        <v>1146</v>
      </c>
      <c r="D1438" s="2" t="s">
        <v>32</v>
      </c>
      <c r="E1438" s="2" t="s">
        <v>74</v>
      </c>
      <c r="F1438" s="6">
        <v>6300000.0</v>
      </c>
      <c r="G1438" s="7">
        <v>1581382.0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ht="15.75" customHeight="1">
      <c r="A1439" s="5" t="s">
        <v>12</v>
      </c>
      <c r="B1439" s="5" t="s">
        <v>13</v>
      </c>
      <c r="C1439" s="2" t="s">
        <v>1147</v>
      </c>
      <c r="D1439" s="2" t="s">
        <v>16</v>
      </c>
      <c r="E1439" s="2" t="s">
        <v>14</v>
      </c>
      <c r="F1439" s="6">
        <v>0.0</v>
      </c>
      <c r="G1439" s="7">
        <v>5262794.0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ht="15.75" customHeight="1">
      <c r="A1440" s="5" t="s">
        <v>12</v>
      </c>
      <c r="B1440" s="5" t="s">
        <v>13</v>
      </c>
      <c r="C1440" s="2" t="s">
        <v>1148</v>
      </c>
      <c r="D1440" s="2" t="s">
        <v>16</v>
      </c>
      <c r="E1440" s="2" t="s">
        <v>14</v>
      </c>
      <c r="F1440" s="6">
        <v>0.0</v>
      </c>
      <c r="G1440" s="7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ht="15.75" customHeight="1">
      <c r="A1441" s="5" t="s">
        <v>7</v>
      </c>
      <c r="B1441" s="5" t="s">
        <v>13</v>
      </c>
      <c r="C1441" s="2" t="s">
        <v>1149</v>
      </c>
      <c r="D1441" s="2" t="s">
        <v>16</v>
      </c>
      <c r="E1441" s="2" t="s">
        <v>98</v>
      </c>
      <c r="F1441" s="6">
        <v>5555000.0</v>
      </c>
      <c r="G1441" s="7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ht="15.75" customHeight="1">
      <c r="A1442" s="5" t="s">
        <v>12</v>
      </c>
      <c r="B1442" s="5" t="s">
        <v>13</v>
      </c>
      <c r="C1442" s="2" t="s">
        <v>1149</v>
      </c>
      <c r="D1442" s="2" t="s">
        <v>16</v>
      </c>
      <c r="E1442" s="2" t="s">
        <v>74</v>
      </c>
      <c r="F1442" s="6">
        <v>1500000.0</v>
      </c>
      <c r="G1442" s="7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ht="15.75" customHeight="1">
      <c r="A1443" s="5" t="s">
        <v>7</v>
      </c>
      <c r="B1443" s="5" t="s">
        <v>13</v>
      </c>
      <c r="C1443" s="2" t="s">
        <v>1150</v>
      </c>
      <c r="D1443" s="2" t="s">
        <v>83</v>
      </c>
      <c r="E1443" s="2" t="s">
        <v>104</v>
      </c>
      <c r="F1443" s="6">
        <v>1.12E7</v>
      </c>
      <c r="G1443" s="7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ht="15.75" customHeight="1">
      <c r="A1444" s="5" t="s">
        <v>12</v>
      </c>
      <c r="B1444" s="5" t="s">
        <v>13</v>
      </c>
      <c r="C1444" s="2" t="s">
        <v>1150</v>
      </c>
      <c r="D1444" s="2" t="s">
        <v>83</v>
      </c>
      <c r="E1444" s="2" t="s">
        <v>84</v>
      </c>
      <c r="F1444" s="6">
        <v>1.12E7</v>
      </c>
      <c r="G1444" s="7">
        <v>9329233.0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ht="15.75" customHeight="1">
      <c r="A1445" s="5" t="s">
        <v>12</v>
      </c>
      <c r="B1445" s="5" t="s">
        <v>13</v>
      </c>
      <c r="C1445" s="2" t="s">
        <v>1151</v>
      </c>
      <c r="D1445" s="2" t="s">
        <v>16</v>
      </c>
      <c r="E1445" s="2" t="s">
        <v>84</v>
      </c>
      <c r="F1445" s="6">
        <v>0.0</v>
      </c>
      <c r="G1445" s="7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ht="15.75" customHeight="1">
      <c r="A1446" s="5" t="s">
        <v>12</v>
      </c>
      <c r="B1446" s="5" t="s">
        <v>13</v>
      </c>
      <c r="C1446" s="2" t="s">
        <v>1152</v>
      </c>
      <c r="D1446" s="2" t="s">
        <v>32</v>
      </c>
      <c r="E1446" s="2" t="s">
        <v>17</v>
      </c>
      <c r="F1446" s="6">
        <v>1650000.0</v>
      </c>
      <c r="G1446" s="7">
        <v>1124311.0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ht="15.75" customHeight="1">
      <c r="A1447" s="5" t="s">
        <v>12</v>
      </c>
      <c r="B1447" s="5" t="s">
        <v>13</v>
      </c>
      <c r="C1447" s="2" t="s">
        <v>1153</v>
      </c>
      <c r="D1447" s="2" t="s">
        <v>32</v>
      </c>
      <c r="E1447" s="2" t="s">
        <v>14</v>
      </c>
      <c r="F1447" s="6">
        <v>0.0</v>
      </c>
      <c r="G1447" s="7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ht="15.75" customHeight="1">
      <c r="A1448" s="5" t="s">
        <v>12</v>
      </c>
      <c r="B1448" s="5" t="s">
        <v>13</v>
      </c>
      <c r="C1448" s="2" t="s">
        <v>1154</v>
      </c>
      <c r="D1448" s="2" t="s">
        <v>16</v>
      </c>
      <c r="E1448" s="2" t="s">
        <v>84</v>
      </c>
      <c r="F1448" s="6">
        <v>0.0</v>
      </c>
      <c r="G1448" s="7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ht="15.75" customHeight="1">
      <c r="A1449" s="5" t="s">
        <v>12</v>
      </c>
      <c r="B1449" s="5" t="s">
        <v>13</v>
      </c>
      <c r="C1449" s="2" t="s">
        <v>1155</v>
      </c>
      <c r="D1449" s="2" t="s">
        <v>16</v>
      </c>
      <c r="E1449" s="2" t="s">
        <v>14</v>
      </c>
      <c r="F1449" s="6">
        <v>0.0</v>
      </c>
      <c r="G1449" s="7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ht="15.75" customHeight="1">
      <c r="A1450" s="5" t="s">
        <v>7</v>
      </c>
      <c r="B1450" s="5" t="s">
        <v>13</v>
      </c>
      <c r="C1450" s="2" t="s">
        <v>1156</v>
      </c>
      <c r="D1450" s="2" t="s">
        <v>32</v>
      </c>
      <c r="E1450" s="2" t="s">
        <v>49</v>
      </c>
      <c r="F1450" s="6">
        <v>100000.0</v>
      </c>
      <c r="G1450" s="7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ht="15.75" customHeight="1">
      <c r="A1451" s="5" t="s">
        <v>12</v>
      </c>
      <c r="B1451" s="5" t="s">
        <v>13</v>
      </c>
      <c r="C1451" s="2" t="s">
        <v>1156</v>
      </c>
      <c r="D1451" s="2" t="s">
        <v>32</v>
      </c>
      <c r="E1451" s="2" t="s">
        <v>14</v>
      </c>
      <c r="F1451" s="6">
        <v>0.0</v>
      </c>
      <c r="G1451" s="7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ht="15.75" customHeight="1">
      <c r="A1452" s="5" t="s">
        <v>12</v>
      </c>
      <c r="B1452" s="5" t="s">
        <v>13</v>
      </c>
      <c r="C1452" s="2" t="s">
        <v>1157</v>
      </c>
      <c r="D1452" s="2" t="s">
        <v>16</v>
      </c>
      <c r="E1452" s="2" t="s">
        <v>14</v>
      </c>
      <c r="F1452" s="6">
        <v>0.0</v>
      </c>
      <c r="G1452" s="7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ht="15.75" customHeight="1">
      <c r="A1453" s="5" t="s">
        <v>12</v>
      </c>
      <c r="B1453" s="5" t="s">
        <v>13</v>
      </c>
      <c r="C1453" s="2" t="s">
        <v>1158</v>
      </c>
      <c r="D1453" s="2" t="s">
        <v>16</v>
      </c>
      <c r="E1453" s="2" t="s">
        <v>14</v>
      </c>
      <c r="F1453" s="6">
        <v>0.0</v>
      </c>
      <c r="G1453" s="7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ht="15.75" customHeight="1">
      <c r="A1454" s="5" t="s">
        <v>7</v>
      </c>
      <c r="B1454" s="5" t="s">
        <v>13</v>
      </c>
      <c r="C1454" s="2" t="s">
        <v>1159</v>
      </c>
      <c r="D1454" s="2" t="s">
        <v>32</v>
      </c>
      <c r="E1454" s="2" t="s">
        <v>33</v>
      </c>
      <c r="F1454" s="6">
        <v>70000.0</v>
      </c>
      <c r="G1454" s="7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ht="15.75" customHeight="1">
      <c r="A1455" s="5" t="s">
        <v>12</v>
      </c>
      <c r="B1455" s="5" t="s">
        <v>13</v>
      </c>
      <c r="C1455" s="2" t="s">
        <v>1159</v>
      </c>
      <c r="D1455" s="2" t="s">
        <v>32</v>
      </c>
      <c r="E1455" s="2" t="s">
        <v>14</v>
      </c>
      <c r="F1455" s="6">
        <v>100000.0</v>
      </c>
      <c r="G1455" s="7">
        <v>546160.0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ht="15.75" customHeight="1">
      <c r="A1456" s="5" t="s">
        <v>12</v>
      </c>
      <c r="B1456" s="5" t="s">
        <v>13</v>
      </c>
      <c r="C1456" s="2" t="s">
        <v>1160</v>
      </c>
      <c r="D1456" s="2" t="s">
        <v>16</v>
      </c>
      <c r="E1456" s="2" t="s">
        <v>14</v>
      </c>
      <c r="F1456" s="6">
        <v>0.0</v>
      </c>
      <c r="G1456" s="7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ht="15.75" customHeight="1">
      <c r="A1457" s="5" t="s">
        <v>12</v>
      </c>
      <c r="B1457" s="5" t="s">
        <v>13</v>
      </c>
      <c r="C1457" s="2" t="s">
        <v>1161</v>
      </c>
      <c r="D1457" s="2" t="s">
        <v>16</v>
      </c>
      <c r="E1457" s="2" t="s">
        <v>14</v>
      </c>
      <c r="F1457" s="6">
        <v>0.0</v>
      </c>
      <c r="G1457" s="7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ht="15.75" customHeight="1">
      <c r="A1458" s="5" t="s">
        <v>12</v>
      </c>
      <c r="B1458" s="5" t="s">
        <v>13</v>
      </c>
      <c r="C1458" s="2" t="s">
        <v>1162</v>
      </c>
      <c r="D1458" s="2" t="s">
        <v>16</v>
      </c>
      <c r="E1458" s="2" t="s">
        <v>14</v>
      </c>
      <c r="F1458" s="6">
        <v>0.0</v>
      </c>
      <c r="G1458" s="7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ht="15.75" customHeight="1">
      <c r="A1459" s="5" t="s">
        <v>7</v>
      </c>
      <c r="B1459" s="5" t="s">
        <v>8</v>
      </c>
      <c r="C1459" s="2" t="s">
        <v>1163</v>
      </c>
      <c r="D1459" s="2" t="s">
        <v>48</v>
      </c>
      <c r="E1459" s="2" t="s">
        <v>74</v>
      </c>
      <c r="F1459" s="6">
        <v>0.0</v>
      </c>
      <c r="G1459" s="7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ht="15.75" customHeight="1">
      <c r="A1460" s="5" t="s">
        <v>12</v>
      </c>
      <c r="B1460" s="5" t="s">
        <v>8</v>
      </c>
      <c r="C1460" s="2" t="s">
        <v>1163</v>
      </c>
      <c r="D1460" s="2" t="s">
        <v>48</v>
      </c>
      <c r="E1460" s="2" t="s">
        <v>74</v>
      </c>
      <c r="F1460" s="6">
        <v>1286598.0</v>
      </c>
      <c r="G1460" s="7">
        <v>256.0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ht="15.75" customHeight="1">
      <c r="A1461" s="5" t="s">
        <v>12</v>
      </c>
      <c r="B1461" s="5" t="s">
        <v>13</v>
      </c>
      <c r="C1461" s="2" t="s">
        <v>1164</v>
      </c>
      <c r="D1461" s="2" t="s">
        <v>16</v>
      </c>
      <c r="E1461" s="2" t="s">
        <v>14</v>
      </c>
      <c r="F1461" s="6">
        <v>0.0</v>
      </c>
      <c r="G1461" s="7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ht="15.75" customHeight="1">
      <c r="A1462" s="5" t="s">
        <v>7</v>
      </c>
      <c r="B1462" s="5" t="s">
        <v>8</v>
      </c>
      <c r="C1462" s="2" t="s">
        <v>1165</v>
      </c>
      <c r="D1462" s="2" t="s">
        <v>32</v>
      </c>
      <c r="E1462" s="2" t="s">
        <v>14</v>
      </c>
      <c r="F1462" s="6">
        <v>0.0</v>
      </c>
      <c r="G1462" s="7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ht="15.75" customHeight="1">
      <c r="A1463" s="5" t="s">
        <v>7</v>
      </c>
      <c r="B1463" s="5" t="s">
        <v>13</v>
      </c>
      <c r="C1463" s="2" t="s">
        <v>1165</v>
      </c>
      <c r="D1463" s="2" t="s">
        <v>32</v>
      </c>
      <c r="E1463" s="2" t="s">
        <v>763</v>
      </c>
      <c r="F1463" s="6">
        <v>7200000.0</v>
      </c>
      <c r="G1463" s="7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ht="15.75" customHeight="1">
      <c r="A1464" s="5" t="s">
        <v>12</v>
      </c>
      <c r="B1464" s="5" t="s">
        <v>13</v>
      </c>
      <c r="C1464" s="2" t="s">
        <v>1165</v>
      </c>
      <c r="D1464" s="2" t="s">
        <v>32</v>
      </c>
      <c r="E1464" s="2" t="s">
        <v>80</v>
      </c>
      <c r="F1464" s="6">
        <v>7200000.0</v>
      </c>
      <c r="G1464" s="7">
        <v>2702213.0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ht="15.75" customHeight="1">
      <c r="A1465" s="5" t="s">
        <v>12</v>
      </c>
      <c r="B1465" s="5" t="s">
        <v>13</v>
      </c>
      <c r="C1465" s="2" t="s">
        <v>1166</v>
      </c>
      <c r="D1465" s="2" t="s">
        <v>32</v>
      </c>
      <c r="E1465" s="2" t="s">
        <v>14</v>
      </c>
      <c r="F1465" s="6">
        <v>0.0</v>
      </c>
      <c r="G1465" s="7">
        <v>-2100000.0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ht="15.75" customHeight="1">
      <c r="A1466" s="5" t="s">
        <v>12</v>
      </c>
      <c r="B1466" s="5" t="s">
        <v>13</v>
      </c>
      <c r="C1466" s="2" t="s">
        <v>1167</v>
      </c>
      <c r="D1466" s="2" t="s">
        <v>16</v>
      </c>
      <c r="E1466" s="2" t="s">
        <v>49</v>
      </c>
      <c r="F1466" s="6">
        <v>200000.0</v>
      </c>
      <c r="G1466" s="7">
        <v>84016.0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ht="15.75" customHeight="1">
      <c r="A1467" s="5" t="s">
        <v>7</v>
      </c>
      <c r="B1467" s="5" t="s">
        <v>13</v>
      </c>
      <c r="C1467" s="2" t="s">
        <v>1168</v>
      </c>
      <c r="D1467" s="2" t="s">
        <v>16</v>
      </c>
      <c r="E1467" s="2" t="s">
        <v>14</v>
      </c>
      <c r="F1467" s="6">
        <v>0.0</v>
      </c>
      <c r="G1467" s="7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ht="15.75" customHeight="1">
      <c r="A1468" s="5" t="s">
        <v>12</v>
      </c>
      <c r="B1468" s="5" t="s">
        <v>13</v>
      </c>
      <c r="C1468" s="2" t="s">
        <v>1168</v>
      </c>
      <c r="D1468" s="2" t="s">
        <v>16</v>
      </c>
      <c r="E1468" s="2" t="s">
        <v>14</v>
      </c>
      <c r="F1468" s="6">
        <v>0.0</v>
      </c>
      <c r="G1468" s="7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ht="15.75" customHeight="1">
      <c r="A1469" s="5" t="s">
        <v>7</v>
      </c>
      <c r="B1469" s="5" t="s">
        <v>13</v>
      </c>
      <c r="C1469" s="2" t="s">
        <v>1169</v>
      </c>
      <c r="D1469" s="2" t="s">
        <v>32</v>
      </c>
      <c r="E1469" s="2" t="s">
        <v>144</v>
      </c>
      <c r="F1469" s="6">
        <v>610000.0</v>
      </c>
      <c r="G1469" s="7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ht="15.75" customHeight="1">
      <c r="A1470" s="5" t="s">
        <v>12</v>
      </c>
      <c r="B1470" s="5" t="s">
        <v>13</v>
      </c>
      <c r="C1470" s="2" t="s">
        <v>1169</v>
      </c>
      <c r="D1470" s="2" t="s">
        <v>32</v>
      </c>
      <c r="E1470" s="2" t="s">
        <v>49</v>
      </c>
      <c r="F1470" s="6">
        <v>610000.0</v>
      </c>
      <c r="G1470" s="7">
        <v>20768.0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ht="15.75" customHeight="1">
      <c r="A1471" s="5" t="s">
        <v>12</v>
      </c>
      <c r="B1471" s="5" t="s">
        <v>13</v>
      </c>
      <c r="C1471" s="2" t="s">
        <v>1170</v>
      </c>
      <c r="D1471" s="2" t="s">
        <v>16</v>
      </c>
      <c r="E1471" s="2" t="s">
        <v>14</v>
      </c>
      <c r="F1471" s="6">
        <v>0.0</v>
      </c>
      <c r="G1471" s="7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ht="15.75" customHeight="1">
      <c r="A1472" s="5" t="s">
        <v>7</v>
      </c>
      <c r="B1472" s="5" t="s">
        <v>13</v>
      </c>
      <c r="C1472" s="2" t="s">
        <v>1171</v>
      </c>
      <c r="D1472" s="2" t="s">
        <v>16</v>
      </c>
      <c r="E1472" s="2" t="s">
        <v>23</v>
      </c>
      <c r="F1472" s="6">
        <v>2600000.0</v>
      </c>
      <c r="G1472" s="7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ht="15.75" customHeight="1">
      <c r="A1473" s="5" t="s">
        <v>12</v>
      </c>
      <c r="B1473" s="5" t="s">
        <v>13</v>
      </c>
      <c r="C1473" s="2" t="s">
        <v>1171</v>
      </c>
      <c r="D1473" s="2" t="s">
        <v>16</v>
      </c>
      <c r="E1473" s="2" t="s">
        <v>17</v>
      </c>
      <c r="F1473" s="6">
        <v>2600000.0</v>
      </c>
      <c r="G1473" s="7">
        <v>823695.0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ht="15.75" customHeight="1">
      <c r="A1474" s="5" t="s">
        <v>12</v>
      </c>
      <c r="B1474" s="5" t="s">
        <v>13</v>
      </c>
      <c r="C1474" s="2" t="s">
        <v>1172</v>
      </c>
      <c r="D1474" s="2" t="s">
        <v>16</v>
      </c>
      <c r="E1474" s="2" t="s">
        <v>14</v>
      </c>
      <c r="F1474" s="6">
        <v>0.0</v>
      </c>
      <c r="G1474" s="7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ht="15.75" customHeight="1">
      <c r="A1475" s="5" t="s">
        <v>12</v>
      </c>
      <c r="B1475" s="5" t="s">
        <v>13</v>
      </c>
      <c r="C1475" s="2" t="s">
        <v>1173</v>
      </c>
      <c r="D1475" s="2" t="s">
        <v>16</v>
      </c>
      <c r="E1475" s="2" t="s">
        <v>14</v>
      </c>
      <c r="F1475" s="6">
        <v>0.0</v>
      </c>
      <c r="G1475" s="7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ht="15.75" customHeight="1">
      <c r="A1476" s="5" t="s">
        <v>12</v>
      </c>
      <c r="B1476" s="5" t="s">
        <v>13</v>
      </c>
      <c r="C1476" s="2" t="s">
        <v>1174</v>
      </c>
      <c r="D1476" s="2" t="s">
        <v>16</v>
      </c>
      <c r="E1476" s="2" t="s">
        <v>14</v>
      </c>
      <c r="F1476" s="6">
        <v>0.0</v>
      </c>
      <c r="G1476" s="7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ht="15.75" customHeight="1">
      <c r="A1477" s="5" t="s">
        <v>12</v>
      </c>
      <c r="B1477" s="5" t="s">
        <v>8</v>
      </c>
      <c r="C1477" s="2" t="s">
        <v>1175</v>
      </c>
      <c r="D1477" s="2" t="s">
        <v>16</v>
      </c>
      <c r="E1477" s="2" t="s">
        <v>14</v>
      </c>
      <c r="F1477" s="6">
        <v>50000.0</v>
      </c>
      <c r="G1477" s="7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ht="15.75" customHeight="1">
      <c r="A1478" s="5" t="s">
        <v>12</v>
      </c>
      <c r="B1478" s="5" t="s">
        <v>13</v>
      </c>
      <c r="C1478" s="2" t="s">
        <v>1176</v>
      </c>
      <c r="D1478" s="2" t="s">
        <v>16</v>
      </c>
      <c r="E1478" s="2" t="s">
        <v>49</v>
      </c>
      <c r="F1478" s="6">
        <v>550000.0</v>
      </c>
      <c r="G1478" s="7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ht="15.75" customHeight="1">
      <c r="A1479" s="5" t="s">
        <v>12</v>
      </c>
      <c r="B1479" s="5" t="s">
        <v>13</v>
      </c>
      <c r="C1479" s="2" t="s">
        <v>1177</v>
      </c>
      <c r="D1479" s="2" t="s">
        <v>16</v>
      </c>
      <c r="E1479" s="2" t="s">
        <v>14</v>
      </c>
      <c r="F1479" s="6">
        <v>0.0</v>
      </c>
      <c r="G1479" s="7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ht="15.75" customHeight="1">
      <c r="A1480" s="5" t="s">
        <v>12</v>
      </c>
      <c r="B1480" s="5" t="s">
        <v>13</v>
      </c>
      <c r="C1480" s="2" t="s">
        <v>1178</v>
      </c>
      <c r="D1480" s="2" t="s">
        <v>16</v>
      </c>
      <c r="E1480" s="2" t="s">
        <v>14</v>
      </c>
      <c r="F1480" s="6">
        <v>0.0</v>
      </c>
      <c r="G1480" s="7">
        <v>0.0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ht="15.75" customHeight="1">
      <c r="A1481" s="5" t="s">
        <v>12</v>
      </c>
      <c r="B1481" s="5" t="s">
        <v>13</v>
      </c>
      <c r="C1481" s="2" t="s">
        <v>1179</v>
      </c>
      <c r="D1481" s="2" t="s">
        <v>16</v>
      </c>
      <c r="E1481" s="2" t="s">
        <v>14</v>
      </c>
      <c r="F1481" s="6">
        <v>20000.0</v>
      </c>
      <c r="G1481" s="7">
        <v>5946.0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ht="15.75" customHeight="1">
      <c r="A1482" s="5" t="s">
        <v>12</v>
      </c>
      <c r="B1482" s="5" t="s">
        <v>13</v>
      </c>
      <c r="C1482" s="2" t="s">
        <v>1180</v>
      </c>
      <c r="D1482" s="2" t="s">
        <v>16</v>
      </c>
      <c r="E1482" s="2" t="s">
        <v>14</v>
      </c>
      <c r="F1482" s="6">
        <v>0.0</v>
      </c>
      <c r="G1482" s="7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ht="15.75" customHeight="1">
      <c r="A1483" s="5" t="s">
        <v>12</v>
      </c>
      <c r="B1483" s="5" t="s">
        <v>13</v>
      </c>
      <c r="C1483" s="2" t="s">
        <v>1181</v>
      </c>
      <c r="D1483" s="2" t="s">
        <v>16</v>
      </c>
      <c r="E1483" s="2" t="s">
        <v>14</v>
      </c>
      <c r="F1483" s="6">
        <v>0.0</v>
      </c>
      <c r="G1483" s="7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ht="15.75" customHeight="1">
      <c r="A1484" s="5" t="s">
        <v>12</v>
      </c>
      <c r="B1484" s="5" t="s">
        <v>13</v>
      </c>
      <c r="C1484" s="2" t="s">
        <v>1182</v>
      </c>
      <c r="D1484" s="2" t="s">
        <v>16</v>
      </c>
      <c r="E1484" s="2" t="s">
        <v>14</v>
      </c>
      <c r="F1484" s="6">
        <v>0.0</v>
      </c>
      <c r="G1484" s="7">
        <v>415050.0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ht="15.75" customHeight="1">
      <c r="A1485" s="5" t="s">
        <v>12</v>
      </c>
      <c r="B1485" s="5" t="s">
        <v>13</v>
      </c>
      <c r="C1485" s="2" t="s">
        <v>1183</v>
      </c>
      <c r="D1485" s="2" t="s">
        <v>16</v>
      </c>
      <c r="E1485" s="2" t="s">
        <v>14</v>
      </c>
      <c r="F1485" s="6">
        <v>0.0</v>
      </c>
      <c r="G1485" s="7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ht="15.75" customHeight="1">
      <c r="A1486" s="5" t="s">
        <v>12</v>
      </c>
      <c r="B1486" s="5" t="s">
        <v>13</v>
      </c>
      <c r="C1486" s="2" t="s">
        <v>1184</v>
      </c>
      <c r="D1486" s="2" t="s">
        <v>16</v>
      </c>
      <c r="E1486" s="2" t="s">
        <v>14</v>
      </c>
      <c r="F1486" s="6">
        <v>0.0</v>
      </c>
      <c r="G1486" s="7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ht="15.75" customHeight="1">
      <c r="A1487" s="5" t="s">
        <v>12</v>
      </c>
      <c r="B1487" s="5" t="s">
        <v>13</v>
      </c>
      <c r="C1487" s="2" t="s">
        <v>1185</v>
      </c>
      <c r="D1487" s="2" t="s">
        <v>16</v>
      </c>
      <c r="E1487" s="2" t="s">
        <v>14</v>
      </c>
      <c r="F1487" s="6">
        <v>0.0</v>
      </c>
      <c r="G1487" s="7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ht="15.75" customHeight="1">
      <c r="A1488" s="5" t="s">
        <v>12</v>
      </c>
      <c r="B1488" s="5" t="s">
        <v>8</v>
      </c>
      <c r="C1488" s="2" t="s">
        <v>1186</v>
      </c>
      <c r="D1488" s="2" t="s">
        <v>16</v>
      </c>
      <c r="E1488" s="2" t="s">
        <v>49</v>
      </c>
      <c r="F1488" s="6">
        <v>75000.0</v>
      </c>
      <c r="G1488" s="7">
        <v>74811.0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ht="15.75" customHeight="1">
      <c r="A1489" s="5" t="s">
        <v>12</v>
      </c>
      <c r="B1489" s="5" t="s">
        <v>13</v>
      </c>
      <c r="C1489" s="2" t="s">
        <v>1187</v>
      </c>
      <c r="D1489" s="2" t="s">
        <v>32</v>
      </c>
      <c r="E1489" s="2" t="s">
        <v>49</v>
      </c>
      <c r="F1489" s="6">
        <v>2100000.0</v>
      </c>
      <c r="G1489" s="7">
        <v>731300.0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ht="15.75" customHeight="1">
      <c r="A1490" s="5" t="s">
        <v>12</v>
      </c>
      <c r="B1490" s="5" t="s">
        <v>13</v>
      </c>
      <c r="C1490" s="2" t="s">
        <v>1188</v>
      </c>
      <c r="D1490" s="2" t="s">
        <v>16</v>
      </c>
      <c r="E1490" s="2" t="s">
        <v>14</v>
      </c>
      <c r="F1490" s="6">
        <v>0.0</v>
      </c>
      <c r="G1490" s="7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ht="15.75" customHeight="1">
      <c r="A1491" s="5" t="s">
        <v>7</v>
      </c>
      <c r="B1491" s="5" t="s">
        <v>13</v>
      </c>
      <c r="C1491" s="2" t="s">
        <v>1189</v>
      </c>
      <c r="D1491" s="2" t="s">
        <v>16</v>
      </c>
      <c r="E1491" s="2" t="s">
        <v>14</v>
      </c>
      <c r="F1491" s="6">
        <v>0.0</v>
      </c>
      <c r="G1491" s="7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ht="15.75" customHeight="1">
      <c r="A1492" s="5" t="s">
        <v>12</v>
      </c>
      <c r="B1492" s="5" t="s">
        <v>13</v>
      </c>
      <c r="C1492" s="2" t="s">
        <v>1189</v>
      </c>
      <c r="D1492" s="2" t="s">
        <v>16</v>
      </c>
      <c r="E1492" s="2" t="s">
        <v>1100</v>
      </c>
      <c r="F1492" s="6">
        <v>4720.0</v>
      </c>
      <c r="G1492" s="7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ht="15.75" customHeight="1">
      <c r="A1493" s="5" t="s">
        <v>12</v>
      </c>
      <c r="B1493" s="5" t="s">
        <v>13</v>
      </c>
      <c r="C1493" s="2" t="s">
        <v>1190</v>
      </c>
      <c r="D1493" s="2" t="s">
        <v>16</v>
      </c>
      <c r="E1493" s="2" t="s">
        <v>14</v>
      </c>
      <c r="F1493" s="6">
        <v>0.0</v>
      </c>
      <c r="G1493" s="7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ht="15.75" customHeight="1">
      <c r="A1494" s="5" t="s">
        <v>12</v>
      </c>
      <c r="B1494" s="5" t="s">
        <v>13</v>
      </c>
      <c r="C1494" s="2" t="s">
        <v>1191</v>
      </c>
      <c r="D1494" s="2" t="s">
        <v>16</v>
      </c>
      <c r="E1494" s="2" t="s">
        <v>14</v>
      </c>
      <c r="F1494" s="6">
        <v>0.0</v>
      </c>
      <c r="G1494" s="7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ht="15.75" customHeight="1">
      <c r="A1495" s="5" t="s">
        <v>12</v>
      </c>
      <c r="B1495" s="5" t="s">
        <v>13</v>
      </c>
      <c r="C1495" s="2" t="s">
        <v>1192</v>
      </c>
      <c r="D1495" s="2" t="s">
        <v>16</v>
      </c>
      <c r="E1495" s="2" t="s">
        <v>14</v>
      </c>
      <c r="F1495" s="6">
        <v>0.0</v>
      </c>
      <c r="G1495" s="7">
        <v>579642.81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ht="15.75" customHeight="1">
      <c r="A1496" s="5" t="s">
        <v>12</v>
      </c>
      <c r="B1496" s="5" t="s">
        <v>13</v>
      </c>
      <c r="C1496" s="2" t="s">
        <v>1193</v>
      </c>
      <c r="D1496" s="2" t="s">
        <v>16</v>
      </c>
      <c r="E1496" s="2" t="s">
        <v>14</v>
      </c>
      <c r="F1496" s="6">
        <v>0.0</v>
      </c>
      <c r="G1496" s="7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ht="15.75" customHeight="1">
      <c r="A1497" s="5" t="s">
        <v>12</v>
      </c>
      <c r="B1497" s="5" t="s">
        <v>13</v>
      </c>
      <c r="C1497" s="2" t="s">
        <v>1194</v>
      </c>
      <c r="D1497" s="2" t="s">
        <v>16</v>
      </c>
      <c r="E1497" s="2" t="s">
        <v>14</v>
      </c>
      <c r="F1497" s="6">
        <v>0.0</v>
      </c>
      <c r="G1497" s="7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ht="15.75" customHeight="1">
      <c r="A1498" s="5" t="s">
        <v>7</v>
      </c>
      <c r="B1498" s="5" t="s">
        <v>13</v>
      </c>
      <c r="C1498" s="2" t="s">
        <v>1195</v>
      </c>
      <c r="D1498" s="2" t="s">
        <v>88</v>
      </c>
      <c r="E1498" s="2" t="s">
        <v>144</v>
      </c>
      <c r="F1498" s="6">
        <v>1000000.0</v>
      </c>
      <c r="G1498" s="7">
        <v>0.0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ht="15.75" customHeight="1">
      <c r="A1499" s="5" t="s">
        <v>12</v>
      </c>
      <c r="B1499" s="5" t="s">
        <v>13</v>
      </c>
      <c r="C1499" s="2" t="s">
        <v>1195</v>
      </c>
      <c r="D1499" s="2" t="s">
        <v>88</v>
      </c>
      <c r="E1499" s="2" t="s">
        <v>49</v>
      </c>
      <c r="F1499" s="6">
        <v>1000000.0</v>
      </c>
      <c r="G1499" s="7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ht="15.75" customHeight="1">
      <c r="A1500" s="5" t="s">
        <v>12</v>
      </c>
      <c r="B1500" s="5" t="s">
        <v>13</v>
      </c>
      <c r="C1500" s="2" t="s">
        <v>1196</v>
      </c>
      <c r="D1500" s="2" t="s">
        <v>16</v>
      </c>
      <c r="E1500" s="2" t="s">
        <v>14</v>
      </c>
      <c r="F1500" s="6">
        <v>0.0</v>
      </c>
      <c r="G1500" s="7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ht="15.75" customHeight="1">
      <c r="A1501" s="5" t="s">
        <v>7</v>
      </c>
      <c r="B1501" s="5" t="s">
        <v>13</v>
      </c>
      <c r="C1501" s="2" t="s">
        <v>1197</v>
      </c>
      <c r="D1501" s="2" t="s">
        <v>32</v>
      </c>
      <c r="E1501" s="2" t="s">
        <v>55</v>
      </c>
      <c r="F1501" s="6">
        <v>0.0</v>
      </c>
      <c r="G1501" s="7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ht="15.75" customHeight="1">
      <c r="A1502" s="5" t="s">
        <v>12</v>
      </c>
      <c r="B1502" s="5" t="s">
        <v>13</v>
      </c>
      <c r="C1502" s="2" t="s">
        <v>1197</v>
      </c>
      <c r="D1502" s="2" t="s">
        <v>32</v>
      </c>
      <c r="E1502" s="2" t="s">
        <v>55</v>
      </c>
      <c r="F1502" s="6">
        <v>155000.0</v>
      </c>
      <c r="G1502" s="7">
        <v>133562.0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ht="15.75" customHeight="1">
      <c r="A1503" s="5" t="s">
        <v>7</v>
      </c>
      <c r="B1503" s="5" t="s">
        <v>8</v>
      </c>
      <c r="C1503" s="2" t="s">
        <v>1198</v>
      </c>
      <c r="D1503" s="2" t="s">
        <v>10</v>
      </c>
      <c r="E1503" s="2" t="s">
        <v>14</v>
      </c>
      <c r="F1503" s="6">
        <v>227150.0</v>
      </c>
      <c r="G1503" s="7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ht="15.75" customHeight="1">
      <c r="A1504" s="5" t="s">
        <v>7</v>
      </c>
      <c r="B1504" s="5" t="s">
        <v>13</v>
      </c>
      <c r="C1504" s="2" t="s">
        <v>1198</v>
      </c>
      <c r="D1504" s="2" t="s">
        <v>10</v>
      </c>
      <c r="E1504" s="2" t="s">
        <v>14</v>
      </c>
      <c r="F1504" s="6">
        <v>0.0</v>
      </c>
      <c r="G1504" s="7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ht="15.75" customHeight="1">
      <c r="A1505" s="5" t="s">
        <v>12</v>
      </c>
      <c r="B1505" s="5" t="s">
        <v>13</v>
      </c>
      <c r="C1505" s="2" t="s">
        <v>1198</v>
      </c>
      <c r="D1505" s="2" t="s">
        <v>10</v>
      </c>
      <c r="E1505" s="2" t="s">
        <v>14</v>
      </c>
      <c r="F1505" s="6">
        <v>2360000.0</v>
      </c>
      <c r="G1505" s="7">
        <v>10308.0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ht="15.75" customHeight="1">
      <c r="A1506" s="5" t="s">
        <v>12</v>
      </c>
      <c r="B1506" s="5" t="s">
        <v>8</v>
      </c>
      <c r="C1506" s="2" t="s">
        <v>1198</v>
      </c>
      <c r="D1506" s="2" t="s">
        <v>10</v>
      </c>
      <c r="E1506" s="2" t="s">
        <v>14</v>
      </c>
      <c r="F1506" s="6">
        <v>635000.0</v>
      </c>
      <c r="G1506" s="7">
        <v>311.0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ht="15.75" customHeight="1">
      <c r="A1507" s="5" t="s">
        <v>12</v>
      </c>
      <c r="B1507" s="5" t="s">
        <v>13</v>
      </c>
      <c r="C1507" s="2" t="s">
        <v>1199</v>
      </c>
      <c r="D1507" s="2" t="s">
        <v>10</v>
      </c>
      <c r="E1507" s="2" t="s">
        <v>14</v>
      </c>
      <c r="F1507" s="6">
        <v>1658000.0</v>
      </c>
      <c r="G1507" s="7">
        <v>6460.0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ht="15.75" customHeight="1">
      <c r="A1508" s="5" t="s">
        <v>12</v>
      </c>
      <c r="B1508" s="5" t="s">
        <v>13</v>
      </c>
      <c r="C1508" s="2" t="s">
        <v>1200</v>
      </c>
      <c r="D1508" s="2" t="s">
        <v>16</v>
      </c>
      <c r="E1508" s="2" t="s">
        <v>49</v>
      </c>
      <c r="F1508" s="6">
        <v>1000000.0</v>
      </c>
      <c r="G1508" s="7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ht="15.75" customHeight="1">
      <c r="A1509" s="5" t="s">
        <v>12</v>
      </c>
      <c r="B1509" s="5" t="s">
        <v>13</v>
      </c>
      <c r="C1509" s="2" t="s">
        <v>1201</v>
      </c>
      <c r="D1509" s="2" t="s">
        <v>16</v>
      </c>
      <c r="E1509" s="2" t="s">
        <v>14</v>
      </c>
      <c r="F1509" s="6">
        <v>2000000.0</v>
      </c>
      <c r="G1509" s="7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ht="15.75" customHeight="1">
      <c r="A1510" s="5" t="s">
        <v>12</v>
      </c>
      <c r="B1510" s="5" t="s">
        <v>13</v>
      </c>
      <c r="C1510" s="2" t="s">
        <v>1202</v>
      </c>
      <c r="D1510" s="2" t="s">
        <v>16</v>
      </c>
      <c r="E1510" s="2" t="s">
        <v>14</v>
      </c>
      <c r="F1510" s="6">
        <v>0.0</v>
      </c>
      <c r="G1510" s="7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ht="15.75" customHeight="1">
      <c r="A1511" s="5" t="s">
        <v>7</v>
      </c>
      <c r="B1511" s="5" t="s">
        <v>13</v>
      </c>
      <c r="C1511" s="2" t="s">
        <v>1203</v>
      </c>
      <c r="D1511" s="2" t="s">
        <v>16</v>
      </c>
      <c r="E1511" s="2" t="s">
        <v>14</v>
      </c>
      <c r="F1511" s="6">
        <v>0.0</v>
      </c>
      <c r="G1511" s="7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ht="15.75" customHeight="1">
      <c r="A1512" s="5" t="s">
        <v>12</v>
      </c>
      <c r="B1512" s="5" t="s">
        <v>13</v>
      </c>
      <c r="C1512" s="2" t="s">
        <v>1203</v>
      </c>
      <c r="D1512" s="2" t="s">
        <v>16</v>
      </c>
      <c r="E1512" s="2" t="s">
        <v>17</v>
      </c>
      <c r="F1512" s="6">
        <v>26000.0</v>
      </c>
      <c r="G1512" s="7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ht="15.75" customHeight="1">
      <c r="A1513" s="5" t="s">
        <v>12</v>
      </c>
      <c r="B1513" s="5" t="s">
        <v>13</v>
      </c>
      <c r="C1513" s="2" t="s">
        <v>1204</v>
      </c>
      <c r="D1513" s="2" t="s">
        <v>16</v>
      </c>
      <c r="E1513" s="2" t="s">
        <v>14</v>
      </c>
      <c r="F1513" s="6">
        <v>0.0</v>
      </c>
      <c r="G1513" s="7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ht="15.75" customHeight="1">
      <c r="A1514" s="5" t="s">
        <v>12</v>
      </c>
      <c r="B1514" s="5" t="s">
        <v>13</v>
      </c>
      <c r="C1514" s="2" t="s">
        <v>1205</v>
      </c>
      <c r="D1514" s="2" t="s">
        <v>16</v>
      </c>
      <c r="E1514" s="2" t="s">
        <v>14</v>
      </c>
      <c r="F1514" s="6">
        <v>220000.0</v>
      </c>
      <c r="G1514" s="7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ht="15.75" customHeight="1">
      <c r="A1515" s="5" t="s">
        <v>12</v>
      </c>
      <c r="B1515" s="5" t="s">
        <v>8</v>
      </c>
      <c r="C1515" s="2" t="s">
        <v>1205</v>
      </c>
      <c r="D1515" s="2" t="s">
        <v>16</v>
      </c>
      <c r="E1515" s="2" t="s">
        <v>49</v>
      </c>
      <c r="F1515" s="6">
        <v>750000.0</v>
      </c>
      <c r="G1515" s="7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ht="15.75" customHeight="1">
      <c r="A1516" s="5" t="s">
        <v>7</v>
      </c>
      <c r="B1516" s="5" t="s">
        <v>13</v>
      </c>
      <c r="C1516" s="2" t="s">
        <v>1206</v>
      </c>
      <c r="D1516" s="2" t="s">
        <v>16</v>
      </c>
      <c r="E1516" s="2" t="s">
        <v>144</v>
      </c>
      <c r="F1516" s="6">
        <v>350000.0</v>
      </c>
      <c r="G1516" s="7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ht="15.75" customHeight="1">
      <c r="A1517" s="5" t="s">
        <v>12</v>
      </c>
      <c r="B1517" s="5" t="s">
        <v>13</v>
      </c>
      <c r="C1517" s="2" t="s">
        <v>1206</v>
      </c>
      <c r="D1517" s="2" t="s">
        <v>16</v>
      </c>
      <c r="E1517" s="2" t="s">
        <v>49</v>
      </c>
      <c r="F1517" s="6">
        <v>350000.0</v>
      </c>
      <c r="G1517" s="7">
        <v>205521.0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ht="15.75" customHeight="1">
      <c r="A1518" s="5" t="s">
        <v>12</v>
      </c>
      <c r="B1518" s="5" t="s">
        <v>13</v>
      </c>
      <c r="C1518" s="2" t="s">
        <v>1207</v>
      </c>
      <c r="D1518" s="2" t="s">
        <v>16</v>
      </c>
      <c r="E1518" s="2" t="s">
        <v>14</v>
      </c>
      <c r="F1518" s="6">
        <v>100000.0</v>
      </c>
      <c r="G1518" s="7">
        <v>4331.0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ht="15.75" customHeight="1">
      <c r="A1519" s="5" t="s">
        <v>12</v>
      </c>
      <c r="B1519" s="5" t="s">
        <v>13</v>
      </c>
      <c r="C1519" s="2" t="s">
        <v>1208</v>
      </c>
      <c r="D1519" s="2" t="s">
        <v>16</v>
      </c>
      <c r="E1519" s="2" t="s">
        <v>14</v>
      </c>
      <c r="F1519" s="6">
        <v>0.0</v>
      </c>
      <c r="G1519" s="7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ht="15.75" customHeight="1">
      <c r="A1520" s="5" t="s">
        <v>7</v>
      </c>
      <c r="B1520" s="5" t="s">
        <v>13</v>
      </c>
      <c r="C1520" s="2" t="s">
        <v>1209</v>
      </c>
      <c r="D1520" s="2" t="s">
        <v>48</v>
      </c>
      <c r="E1520" s="2" t="s">
        <v>49</v>
      </c>
      <c r="F1520" s="6">
        <v>200000.0</v>
      </c>
      <c r="G1520" s="7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ht="15.75" customHeight="1">
      <c r="A1521" s="5" t="s">
        <v>12</v>
      </c>
      <c r="B1521" s="5" t="s">
        <v>8</v>
      </c>
      <c r="C1521" s="2" t="s">
        <v>1209</v>
      </c>
      <c r="D1521" s="2" t="s">
        <v>48</v>
      </c>
      <c r="E1521" s="2" t="s">
        <v>49</v>
      </c>
      <c r="F1521" s="6">
        <v>0.0</v>
      </c>
      <c r="G1521" s="7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ht="15.75" customHeight="1">
      <c r="A1522" s="5" t="s">
        <v>12</v>
      </c>
      <c r="B1522" s="5" t="s">
        <v>13</v>
      </c>
      <c r="C1522" s="2" t="s">
        <v>1209</v>
      </c>
      <c r="D1522" s="2" t="s">
        <v>48</v>
      </c>
      <c r="E1522" s="2" t="s">
        <v>49</v>
      </c>
      <c r="F1522" s="6">
        <v>0.0</v>
      </c>
      <c r="G1522" s="7">
        <v>459309.0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ht="15.75" customHeight="1">
      <c r="A1523" s="5" t="s">
        <v>12</v>
      </c>
      <c r="B1523" s="5" t="s">
        <v>13</v>
      </c>
      <c r="C1523" s="2" t="s">
        <v>1210</v>
      </c>
      <c r="D1523" s="2" t="s">
        <v>48</v>
      </c>
      <c r="E1523" s="2" t="s">
        <v>14</v>
      </c>
      <c r="F1523" s="6">
        <v>0.0</v>
      </c>
      <c r="G1523" s="7">
        <v>2300000.0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ht="15.75" customHeight="1">
      <c r="A1524" s="5" t="s">
        <v>12</v>
      </c>
      <c r="B1524" s="5" t="s">
        <v>13</v>
      </c>
      <c r="C1524" s="2" t="s">
        <v>1211</v>
      </c>
      <c r="D1524" s="2" t="s">
        <v>16</v>
      </c>
      <c r="E1524" s="2" t="s">
        <v>14</v>
      </c>
      <c r="F1524" s="6">
        <v>0.0</v>
      </c>
      <c r="G1524" s="7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ht="15.75" customHeight="1">
      <c r="A1525" s="5" t="s">
        <v>12</v>
      </c>
      <c r="B1525" s="5" t="s">
        <v>13</v>
      </c>
      <c r="C1525" s="2" t="s">
        <v>1212</v>
      </c>
      <c r="D1525" s="2" t="s">
        <v>16</v>
      </c>
      <c r="E1525" s="2" t="s">
        <v>14</v>
      </c>
      <c r="F1525" s="6">
        <v>0.0</v>
      </c>
      <c r="G1525" s="7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ht="15.75" customHeight="1">
      <c r="A1526" s="5" t="s">
        <v>12</v>
      </c>
      <c r="B1526" s="5" t="s">
        <v>13</v>
      </c>
      <c r="C1526" s="2" t="s">
        <v>1213</v>
      </c>
      <c r="D1526" s="2" t="s">
        <v>16</v>
      </c>
      <c r="E1526" s="2" t="s">
        <v>14</v>
      </c>
      <c r="F1526" s="6">
        <v>0.0</v>
      </c>
      <c r="G1526" s="7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ht="15.75" customHeight="1">
      <c r="A1527" s="5" t="s">
        <v>12</v>
      </c>
      <c r="B1527" s="5" t="s">
        <v>13</v>
      </c>
      <c r="C1527" s="2" t="s">
        <v>1214</v>
      </c>
      <c r="D1527" s="2" t="s">
        <v>16</v>
      </c>
      <c r="E1527" s="2" t="s">
        <v>14</v>
      </c>
      <c r="F1527" s="6">
        <v>0.0</v>
      </c>
      <c r="G1527" s="7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ht="15.75" customHeight="1">
      <c r="A1528" s="5" t="s">
        <v>12</v>
      </c>
      <c r="B1528" s="5" t="s">
        <v>8</v>
      </c>
      <c r="C1528" s="2" t="s">
        <v>1215</v>
      </c>
      <c r="D1528" s="2" t="s">
        <v>16</v>
      </c>
      <c r="E1528" s="2" t="s">
        <v>14</v>
      </c>
      <c r="F1528" s="6">
        <v>1.0</v>
      </c>
      <c r="G1528" s="7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ht="15.75" customHeight="1">
      <c r="A1529" s="5" t="s">
        <v>7</v>
      </c>
      <c r="B1529" s="5" t="s">
        <v>13</v>
      </c>
      <c r="C1529" s="2" t="s">
        <v>1216</v>
      </c>
      <c r="D1529" s="2" t="s">
        <v>32</v>
      </c>
      <c r="E1529" s="2" t="s">
        <v>211</v>
      </c>
      <c r="F1529" s="6">
        <v>5750000.0</v>
      </c>
      <c r="G1529" s="7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ht="15.75" customHeight="1">
      <c r="A1530" s="5" t="s">
        <v>12</v>
      </c>
      <c r="B1530" s="5" t="s">
        <v>13</v>
      </c>
      <c r="C1530" s="2" t="s">
        <v>1216</v>
      </c>
      <c r="D1530" s="2" t="s">
        <v>32</v>
      </c>
      <c r="E1530" s="2" t="s">
        <v>212</v>
      </c>
      <c r="F1530" s="6">
        <v>5750000.0</v>
      </c>
      <c r="G1530" s="7">
        <v>2400802.0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ht="15.75" customHeight="1">
      <c r="A1531" s="5" t="s">
        <v>12</v>
      </c>
      <c r="B1531" s="5" t="s">
        <v>13</v>
      </c>
      <c r="C1531" s="2" t="s">
        <v>1217</v>
      </c>
      <c r="D1531" s="2" t="s">
        <v>16</v>
      </c>
      <c r="E1531" s="2" t="s">
        <v>14</v>
      </c>
      <c r="F1531" s="6">
        <v>0.0</v>
      </c>
      <c r="G1531" s="7">
        <v>1859354.0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ht="15.75" customHeight="1">
      <c r="A1532" s="5" t="s">
        <v>7</v>
      </c>
      <c r="B1532" s="5" t="s">
        <v>8</v>
      </c>
      <c r="C1532" s="2" t="s">
        <v>1218</v>
      </c>
      <c r="D1532" s="2" t="s">
        <v>48</v>
      </c>
      <c r="E1532" s="2" t="s">
        <v>49</v>
      </c>
      <c r="F1532" s="6">
        <v>179600.0</v>
      </c>
      <c r="G1532" s="7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ht="15.75" customHeight="1">
      <c r="A1533" s="5" t="s">
        <v>12</v>
      </c>
      <c r="B1533" s="5" t="s">
        <v>13</v>
      </c>
      <c r="C1533" s="2" t="s">
        <v>1218</v>
      </c>
      <c r="D1533" s="2" t="s">
        <v>48</v>
      </c>
      <c r="E1533" s="2" t="s">
        <v>14</v>
      </c>
      <c r="F1533" s="6">
        <v>359000.0</v>
      </c>
      <c r="G1533" s="7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ht="15.75" customHeight="1">
      <c r="A1534" s="5" t="s">
        <v>12</v>
      </c>
      <c r="B1534" s="5" t="s">
        <v>8</v>
      </c>
      <c r="C1534" s="2" t="s">
        <v>1218</v>
      </c>
      <c r="D1534" s="2" t="s">
        <v>48</v>
      </c>
      <c r="E1534" s="2" t="s">
        <v>49</v>
      </c>
      <c r="F1534" s="6">
        <v>179600.0</v>
      </c>
      <c r="G1534" s="7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ht="15.75" customHeight="1">
      <c r="A1535" s="5" t="s">
        <v>7</v>
      </c>
      <c r="B1535" s="5" t="s">
        <v>13</v>
      </c>
      <c r="C1535" s="2" t="s">
        <v>1219</v>
      </c>
      <c r="D1535" s="2" t="s">
        <v>88</v>
      </c>
      <c r="E1535" s="2" t="s">
        <v>23</v>
      </c>
      <c r="F1535" s="6">
        <v>1000000.0</v>
      </c>
      <c r="G1535" s="7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ht="15.75" customHeight="1">
      <c r="A1536" s="5" t="s">
        <v>12</v>
      </c>
      <c r="B1536" s="5" t="s">
        <v>13</v>
      </c>
      <c r="C1536" s="2" t="s">
        <v>1219</v>
      </c>
      <c r="D1536" s="2" t="s">
        <v>88</v>
      </c>
      <c r="E1536" s="2" t="s">
        <v>17</v>
      </c>
      <c r="F1536" s="6">
        <v>1000000.0</v>
      </c>
      <c r="G1536" s="7">
        <v>571711.0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ht="15.75" customHeight="1">
      <c r="A1537" s="5" t="s">
        <v>12</v>
      </c>
      <c r="B1537" s="5" t="s">
        <v>13</v>
      </c>
      <c r="C1537" s="2" t="s">
        <v>1220</v>
      </c>
      <c r="D1537" s="2" t="s">
        <v>16</v>
      </c>
      <c r="E1537" s="2" t="s">
        <v>14</v>
      </c>
      <c r="F1537" s="6">
        <v>0.0</v>
      </c>
      <c r="G1537" s="7">
        <v>1045455.0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ht="15.75" customHeight="1">
      <c r="A1538" s="5" t="s">
        <v>7</v>
      </c>
      <c r="B1538" s="5" t="s">
        <v>13</v>
      </c>
      <c r="C1538" s="2" t="s">
        <v>1221</v>
      </c>
      <c r="D1538" s="2" t="s">
        <v>19</v>
      </c>
      <c r="E1538" s="2" t="s">
        <v>49</v>
      </c>
      <c r="F1538" s="6">
        <v>700000.0</v>
      </c>
      <c r="G1538" s="7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ht="15.75" customHeight="1">
      <c r="A1539" s="5" t="s">
        <v>12</v>
      </c>
      <c r="B1539" s="5" t="s">
        <v>13</v>
      </c>
      <c r="C1539" s="2" t="s">
        <v>1221</v>
      </c>
      <c r="D1539" s="2" t="s">
        <v>19</v>
      </c>
      <c r="E1539" s="2" t="s">
        <v>49</v>
      </c>
      <c r="F1539" s="6">
        <v>1555000.0</v>
      </c>
      <c r="G1539" s="7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ht="15.75" customHeight="1">
      <c r="A1540" s="5" t="s">
        <v>7</v>
      </c>
      <c r="B1540" s="5" t="s">
        <v>8</v>
      </c>
      <c r="C1540" s="2" t="s">
        <v>1222</v>
      </c>
      <c r="D1540" s="2" t="s">
        <v>32</v>
      </c>
      <c r="E1540" s="2" t="s">
        <v>84</v>
      </c>
      <c r="F1540" s="6">
        <v>0.0</v>
      </c>
      <c r="G1540" s="7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ht="15.75" customHeight="1">
      <c r="A1541" s="5" t="s">
        <v>7</v>
      </c>
      <c r="B1541" s="5" t="s">
        <v>13</v>
      </c>
      <c r="C1541" s="2" t="s">
        <v>1222</v>
      </c>
      <c r="D1541" s="2" t="s">
        <v>32</v>
      </c>
      <c r="E1541" s="2" t="s">
        <v>104</v>
      </c>
      <c r="F1541" s="6">
        <v>6000000.0</v>
      </c>
      <c r="G1541" s="7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ht="15.75" customHeight="1">
      <c r="A1542" s="5" t="s">
        <v>12</v>
      </c>
      <c r="B1542" s="5" t="s">
        <v>8</v>
      </c>
      <c r="C1542" s="2" t="s">
        <v>1222</v>
      </c>
      <c r="D1542" s="2" t="s">
        <v>32</v>
      </c>
      <c r="E1542" s="2" t="s">
        <v>84</v>
      </c>
      <c r="F1542" s="6">
        <v>3000000.0</v>
      </c>
      <c r="G1542" s="7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ht="15.75" customHeight="1">
      <c r="A1543" s="5" t="s">
        <v>12</v>
      </c>
      <c r="B1543" s="5" t="s">
        <v>13</v>
      </c>
      <c r="C1543" s="2" t="s">
        <v>1222</v>
      </c>
      <c r="D1543" s="2" t="s">
        <v>32</v>
      </c>
      <c r="E1543" s="2" t="s">
        <v>84</v>
      </c>
      <c r="F1543" s="6">
        <v>6000000.0</v>
      </c>
      <c r="G1543" s="7">
        <v>3845444.0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ht="15.75" customHeight="1">
      <c r="A1544" s="5" t="s">
        <v>12</v>
      </c>
      <c r="B1544" s="5" t="s">
        <v>13</v>
      </c>
      <c r="C1544" s="2" t="s">
        <v>1223</v>
      </c>
      <c r="D1544" s="2" t="s">
        <v>32</v>
      </c>
      <c r="E1544" s="2" t="s">
        <v>14</v>
      </c>
      <c r="F1544" s="6">
        <v>0.0</v>
      </c>
      <c r="G1544" s="7">
        <v>6745439.0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ht="15.75" customHeight="1">
      <c r="A1545" s="5" t="s">
        <v>12</v>
      </c>
      <c r="B1545" s="5" t="s">
        <v>13</v>
      </c>
      <c r="C1545" s="2" t="s">
        <v>1224</v>
      </c>
      <c r="D1545" s="2" t="s">
        <v>16</v>
      </c>
      <c r="E1545" s="2" t="s">
        <v>14</v>
      </c>
      <c r="F1545" s="6">
        <v>2000.0</v>
      </c>
      <c r="G1545" s="7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ht="15.75" customHeight="1">
      <c r="A1546" s="5" t="s">
        <v>12</v>
      </c>
      <c r="B1546" s="5" t="s">
        <v>13</v>
      </c>
      <c r="C1546" s="2" t="s">
        <v>1225</v>
      </c>
      <c r="D1546" s="2" t="s">
        <v>16</v>
      </c>
      <c r="E1546" s="2" t="s">
        <v>14</v>
      </c>
      <c r="F1546" s="6">
        <v>0.0</v>
      </c>
      <c r="G1546" s="7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ht="15.75" customHeight="1">
      <c r="A1547" s="5" t="s">
        <v>12</v>
      </c>
      <c r="B1547" s="5" t="s">
        <v>13</v>
      </c>
      <c r="C1547" s="2" t="s">
        <v>1226</v>
      </c>
      <c r="D1547" s="2" t="s">
        <v>115</v>
      </c>
      <c r="E1547" s="2" t="s">
        <v>49</v>
      </c>
      <c r="F1547" s="6">
        <v>213000.0</v>
      </c>
      <c r="G1547" s="7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ht="15.75" customHeight="1">
      <c r="A1548" s="5" t="s">
        <v>7</v>
      </c>
      <c r="B1548" s="5" t="s">
        <v>13</v>
      </c>
      <c r="C1548" s="2" t="s">
        <v>1227</v>
      </c>
      <c r="D1548" s="2" t="s">
        <v>32</v>
      </c>
      <c r="E1548" s="2" t="s">
        <v>49</v>
      </c>
      <c r="F1548" s="6">
        <v>400000.0</v>
      </c>
      <c r="G1548" s="7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ht="15.75" customHeight="1">
      <c r="A1549" s="5" t="s">
        <v>12</v>
      </c>
      <c r="B1549" s="5" t="s">
        <v>13</v>
      </c>
      <c r="C1549" s="2" t="s">
        <v>1227</v>
      </c>
      <c r="D1549" s="2" t="s">
        <v>32</v>
      </c>
      <c r="E1549" s="2" t="s">
        <v>49</v>
      </c>
      <c r="F1549" s="6">
        <v>910000.0</v>
      </c>
      <c r="G1549" s="7">
        <v>53057.0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ht="15.75" customHeight="1">
      <c r="A1550" s="5" t="s">
        <v>12</v>
      </c>
      <c r="B1550" s="5" t="s">
        <v>13</v>
      </c>
      <c r="C1550" s="2" t="s">
        <v>1228</v>
      </c>
      <c r="D1550" s="2" t="s">
        <v>16</v>
      </c>
      <c r="E1550" s="2" t="s">
        <v>14</v>
      </c>
      <c r="F1550" s="6">
        <v>0.0</v>
      </c>
      <c r="G1550" s="7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ht="15.75" customHeight="1">
      <c r="A1551" s="5" t="s">
        <v>12</v>
      </c>
      <c r="B1551" s="5" t="s">
        <v>13</v>
      </c>
      <c r="C1551" s="2" t="s">
        <v>1229</v>
      </c>
      <c r="D1551" s="2" t="s">
        <v>16</v>
      </c>
      <c r="E1551" s="2" t="s">
        <v>14</v>
      </c>
      <c r="F1551" s="6">
        <v>0.0</v>
      </c>
      <c r="G1551" s="7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ht="15.75" customHeight="1">
      <c r="A1552" s="5" t="s">
        <v>12</v>
      </c>
      <c r="B1552" s="5" t="s">
        <v>13</v>
      </c>
      <c r="C1552" s="2" t="s">
        <v>1230</v>
      </c>
      <c r="D1552" s="2" t="s">
        <v>16</v>
      </c>
      <c r="E1552" s="2" t="s">
        <v>14</v>
      </c>
      <c r="F1552" s="6">
        <v>0.0</v>
      </c>
      <c r="G1552" s="7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ht="15.75" customHeight="1">
      <c r="A1553" s="5" t="s">
        <v>12</v>
      </c>
      <c r="B1553" s="5" t="s">
        <v>13</v>
      </c>
      <c r="C1553" s="2" t="s">
        <v>1231</v>
      </c>
      <c r="D1553" s="2" t="s">
        <v>16</v>
      </c>
      <c r="E1553" s="2" t="s">
        <v>14</v>
      </c>
      <c r="F1553" s="6">
        <v>10000.0</v>
      </c>
      <c r="G1553" s="7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ht="15.75" customHeight="1">
      <c r="A1554" s="5" t="s">
        <v>12</v>
      </c>
      <c r="B1554" s="5" t="s">
        <v>13</v>
      </c>
      <c r="C1554" s="2" t="s">
        <v>1232</v>
      </c>
      <c r="D1554" s="2" t="s">
        <v>16</v>
      </c>
      <c r="E1554" s="2" t="s">
        <v>14</v>
      </c>
      <c r="F1554" s="6">
        <v>0.0</v>
      </c>
      <c r="G1554" s="7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ht="15.75" customHeight="1">
      <c r="A1555" s="5" t="s">
        <v>7</v>
      </c>
      <c r="B1555" s="5" t="s">
        <v>13</v>
      </c>
      <c r="C1555" s="2" t="s">
        <v>1233</v>
      </c>
      <c r="D1555" s="2" t="s">
        <v>32</v>
      </c>
      <c r="E1555" s="2" t="s">
        <v>144</v>
      </c>
      <c r="F1555" s="6">
        <v>5000000.0</v>
      </c>
      <c r="G1555" s="7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ht="15.75" customHeight="1">
      <c r="A1556" s="5" t="s">
        <v>12</v>
      </c>
      <c r="B1556" s="5" t="s">
        <v>13</v>
      </c>
      <c r="C1556" s="2" t="s">
        <v>1233</v>
      </c>
      <c r="D1556" s="2" t="s">
        <v>32</v>
      </c>
      <c r="E1556" s="2" t="s">
        <v>49</v>
      </c>
      <c r="F1556" s="6">
        <v>5000000.0</v>
      </c>
      <c r="G1556" s="7">
        <v>846486.0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ht="15.75" customHeight="1">
      <c r="A1557" s="5" t="s">
        <v>12</v>
      </c>
      <c r="B1557" s="5" t="s">
        <v>13</v>
      </c>
      <c r="C1557" s="2" t="s">
        <v>1234</v>
      </c>
      <c r="D1557" s="2" t="s">
        <v>32</v>
      </c>
      <c r="E1557" s="2" t="s">
        <v>14</v>
      </c>
      <c r="F1557" s="6">
        <v>0.0</v>
      </c>
      <c r="G1557" s="7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ht="15.75" customHeight="1">
      <c r="A1558" s="5" t="s">
        <v>12</v>
      </c>
      <c r="B1558" s="5" t="s">
        <v>13</v>
      </c>
      <c r="C1558" s="2" t="s">
        <v>1235</v>
      </c>
      <c r="D1558" s="2" t="s">
        <v>16</v>
      </c>
      <c r="E1558" s="2" t="s">
        <v>14</v>
      </c>
      <c r="F1558" s="6">
        <v>0.0</v>
      </c>
      <c r="G1558" s="7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ht="15.75" customHeight="1">
      <c r="A1559" s="5" t="s">
        <v>12</v>
      </c>
      <c r="B1559" s="5" t="s">
        <v>13</v>
      </c>
      <c r="C1559" s="2" t="s">
        <v>1236</v>
      </c>
      <c r="D1559" s="2" t="s">
        <v>16</v>
      </c>
      <c r="E1559" s="2" t="s">
        <v>14</v>
      </c>
      <c r="F1559" s="6">
        <v>0.0</v>
      </c>
      <c r="G1559" s="7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ht="15.75" customHeight="1">
      <c r="A1560" s="5" t="s">
        <v>12</v>
      </c>
      <c r="B1560" s="5" t="s">
        <v>13</v>
      </c>
      <c r="C1560" s="2" t="s">
        <v>1237</v>
      </c>
      <c r="D1560" s="2" t="s">
        <v>16</v>
      </c>
      <c r="E1560" s="2" t="s">
        <v>14</v>
      </c>
      <c r="F1560" s="6">
        <v>0.0</v>
      </c>
      <c r="G1560" s="7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ht="15.75" customHeight="1">
      <c r="A1561" s="5" t="s">
        <v>12</v>
      </c>
      <c r="B1561" s="5" t="s">
        <v>13</v>
      </c>
      <c r="C1561" s="2" t="s">
        <v>1238</v>
      </c>
      <c r="D1561" s="2" t="s">
        <v>16</v>
      </c>
      <c r="E1561" s="2" t="s">
        <v>96</v>
      </c>
      <c r="F1561" s="6">
        <v>557000.0</v>
      </c>
      <c r="G1561" s="7">
        <v>1313574.0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ht="15.75" customHeight="1">
      <c r="A1562" s="5" t="s">
        <v>12</v>
      </c>
      <c r="B1562" s="5" t="s">
        <v>13</v>
      </c>
      <c r="C1562" s="2" t="s">
        <v>1239</v>
      </c>
      <c r="D1562" s="2" t="s">
        <v>16</v>
      </c>
      <c r="E1562" s="2" t="s">
        <v>14</v>
      </c>
      <c r="F1562" s="6">
        <v>0.0</v>
      </c>
      <c r="G1562" s="7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ht="15.75" customHeight="1">
      <c r="A1563" s="5" t="s">
        <v>12</v>
      </c>
      <c r="B1563" s="5" t="s">
        <v>13</v>
      </c>
      <c r="C1563" s="2" t="s">
        <v>1240</v>
      </c>
      <c r="D1563" s="2" t="s">
        <v>16</v>
      </c>
      <c r="E1563" s="2" t="s">
        <v>14</v>
      </c>
      <c r="F1563" s="6">
        <v>0.0</v>
      </c>
      <c r="G1563" s="7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ht="15.75" customHeight="1">
      <c r="A1564" s="5" t="s">
        <v>12</v>
      </c>
      <c r="B1564" s="5" t="s">
        <v>13</v>
      </c>
      <c r="C1564" s="2" t="s">
        <v>1241</v>
      </c>
      <c r="D1564" s="2" t="s">
        <v>16</v>
      </c>
      <c r="E1564" s="2" t="s">
        <v>14</v>
      </c>
      <c r="F1564" s="6">
        <v>0.0</v>
      </c>
      <c r="G1564" s="7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ht="15.75" customHeight="1">
      <c r="A1565" s="5" t="s">
        <v>7</v>
      </c>
      <c r="B1565" s="5" t="s">
        <v>13</v>
      </c>
      <c r="C1565" s="2" t="s">
        <v>1242</v>
      </c>
      <c r="D1565" s="2" t="s">
        <v>32</v>
      </c>
      <c r="E1565" s="2" t="s">
        <v>144</v>
      </c>
      <c r="F1565" s="6">
        <v>1300000.0</v>
      </c>
      <c r="G1565" s="7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ht="15.75" customHeight="1">
      <c r="A1566" s="5" t="s">
        <v>12</v>
      </c>
      <c r="B1566" s="5" t="s">
        <v>13</v>
      </c>
      <c r="C1566" s="2" t="s">
        <v>1242</v>
      </c>
      <c r="D1566" s="2" t="s">
        <v>32</v>
      </c>
      <c r="E1566" s="2" t="s">
        <v>49</v>
      </c>
      <c r="F1566" s="6">
        <v>1300000.0</v>
      </c>
      <c r="G1566" s="7">
        <v>204583.0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ht="15.75" customHeight="1">
      <c r="A1567" s="5" t="s">
        <v>12</v>
      </c>
      <c r="B1567" s="5" t="s">
        <v>13</v>
      </c>
      <c r="C1567" s="2" t="s">
        <v>1243</v>
      </c>
      <c r="D1567" s="2" t="s">
        <v>16</v>
      </c>
      <c r="E1567" s="2" t="s">
        <v>14</v>
      </c>
      <c r="F1567" s="6">
        <v>0.0</v>
      </c>
      <c r="G1567" s="7">
        <v>4611750.0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ht="15.75" customHeight="1">
      <c r="A1568" s="5" t="s">
        <v>12</v>
      </c>
      <c r="B1568" s="5" t="s">
        <v>13</v>
      </c>
      <c r="C1568" s="2" t="s">
        <v>1244</v>
      </c>
      <c r="D1568" s="2" t="s">
        <v>16</v>
      </c>
      <c r="E1568" s="2" t="s">
        <v>14</v>
      </c>
      <c r="F1568" s="6">
        <v>0.0</v>
      </c>
      <c r="G1568" s="7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ht="15.75" customHeight="1">
      <c r="A1569" s="5" t="s">
        <v>7</v>
      </c>
      <c r="B1569" s="5" t="s">
        <v>13</v>
      </c>
      <c r="C1569" s="2" t="s">
        <v>1245</v>
      </c>
      <c r="D1569" s="2" t="s">
        <v>32</v>
      </c>
      <c r="E1569" s="2" t="s">
        <v>23</v>
      </c>
      <c r="F1569" s="6">
        <v>4000000.0</v>
      </c>
      <c r="G1569" s="7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ht="15.75" customHeight="1">
      <c r="A1570" s="5" t="s">
        <v>12</v>
      </c>
      <c r="B1570" s="5" t="s">
        <v>13</v>
      </c>
      <c r="C1570" s="2" t="s">
        <v>1245</v>
      </c>
      <c r="D1570" s="2" t="s">
        <v>32</v>
      </c>
      <c r="E1570" s="2" t="s">
        <v>17</v>
      </c>
      <c r="F1570" s="6">
        <v>4000000.0</v>
      </c>
      <c r="G1570" s="7">
        <v>934847.0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ht="15.75" customHeight="1">
      <c r="A1571" s="5" t="s">
        <v>12</v>
      </c>
      <c r="B1571" s="5" t="s">
        <v>13</v>
      </c>
      <c r="C1571" s="2" t="s">
        <v>1246</v>
      </c>
      <c r="D1571" s="2" t="s">
        <v>16</v>
      </c>
      <c r="E1571" s="2" t="s">
        <v>14</v>
      </c>
      <c r="F1571" s="6">
        <v>0.0</v>
      </c>
      <c r="G1571" s="7">
        <v>1244400.0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ht="15.75" customHeight="1">
      <c r="A1572" s="5" t="s">
        <v>12</v>
      </c>
      <c r="B1572" s="5" t="s">
        <v>13</v>
      </c>
      <c r="C1572" s="2" t="s">
        <v>1247</v>
      </c>
      <c r="D1572" s="2" t="s">
        <v>32</v>
      </c>
      <c r="E1572" s="2" t="s">
        <v>14</v>
      </c>
      <c r="F1572" s="6">
        <v>38000.0</v>
      </c>
      <c r="G1572" s="7">
        <v>44250.0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ht="15.75" customHeight="1">
      <c r="A1573" s="5" t="s">
        <v>12</v>
      </c>
      <c r="B1573" s="5" t="s">
        <v>13</v>
      </c>
      <c r="C1573" s="2" t="s">
        <v>1248</v>
      </c>
      <c r="D1573" s="2" t="s">
        <v>16</v>
      </c>
      <c r="E1573" s="2" t="s">
        <v>14</v>
      </c>
      <c r="F1573" s="6">
        <v>0.0</v>
      </c>
      <c r="G1573" s="7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ht="15.75" customHeight="1">
      <c r="A1574" s="5" t="s">
        <v>12</v>
      </c>
      <c r="B1574" s="5" t="s">
        <v>13</v>
      </c>
      <c r="C1574" s="2" t="s">
        <v>1249</v>
      </c>
      <c r="D1574" s="2" t="s">
        <v>16</v>
      </c>
      <c r="E1574" s="2" t="s">
        <v>14</v>
      </c>
      <c r="F1574" s="6">
        <v>0.0</v>
      </c>
      <c r="G1574" s="7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ht="15.75" customHeight="1">
      <c r="A1575" s="5" t="s">
        <v>12</v>
      </c>
      <c r="B1575" s="5" t="s">
        <v>13</v>
      </c>
      <c r="C1575" s="2" t="s">
        <v>1250</v>
      </c>
      <c r="D1575" s="2" t="s">
        <v>88</v>
      </c>
      <c r="E1575" s="2" t="s">
        <v>33</v>
      </c>
      <c r="F1575" s="6">
        <v>1000000.0</v>
      </c>
      <c r="G1575" s="7">
        <v>353796.0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ht="15.75" customHeight="1">
      <c r="A1576" s="5" t="s">
        <v>12</v>
      </c>
      <c r="B1576" s="5" t="s">
        <v>13</v>
      </c>
      <c r="C1576" s="2" t="s">
        <v>1251</v>
      </c>
      <c r="D1576" s="2" t="s">
        <v>16</v>
      </c>
      <c r="E1576" s="2" t="s">
        <v>17</v>
      </c>
      <c r="F1576" s="6">
        <v>8000.0</v>
      </c>
      <c r="G1576" s="7">
        <v>0.0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ht="15.75" customHeight="1">
      <c r="A1577" s="5" t="s">
        <v>7</v>
      </c>
      <c r="B1577" s="5" t="s">
        <v>13</v>
      </c>
      <c r="C1577" s="2" t="s">
        <v>1252</v>
      </c>
      <c r="D1577" s="2" t="s">
        <v>32</v>
      </c>
      <c r="E1577" s="2" t="s">
        <v>23</v>
      </c>
      <c r="F1577" s="6">
        <v>1500000.0</v>
      </c>
      <c r="G1577" s="7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ht="15.75" customHeight="1">
      <c r="A1578" s="5" t="s">
        <v>12</v>
      </c>
      <c r="B1578" s="5" t="s">
        <v>13</v>
      </c>
      <c r="C1578" s="2" t="s">
        <v>1252</v>
      </c>
      <c r="D1578" s="2" t="s">
        <v>32</v>
      </c>
      <c r="E1578" s="2" t="s">
        <v>17</v>
      </c>
      <c r="F1578" s="6">
        <v>1500000.0</v>
      </c>
      <c r="G1578" s="7">
        <v>1446648.0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ht="15.75" customHeight="1">
      <c r="A1579" s="5" t="s">
        <v>12</v>
      </c>
      <c r="B1579" s="5" t="s">
        <v>13</v>
      </c>
      <c r="C1579" s="2" t="s">
        <v>1253</v>
      </c>
      <c r="D1579" s="2" t="s">
        <v>16</v>
      </c>
      <c r="E1579" s="2" t="s">
        <v>14</v>
      </c>
      <c r="F1579" s="6">
        <v>0.0</v>
      </c>
      <c r="G1579" s="7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ht="15.75" customHeight="1">
      <c r="A1580" s="5" t="s">
        <v>12</v>
      </c>
      <c r="B1580" s="5" t="s">
        <v>13</v>
      </c>
      <c r="C1580" s="2" t="s">
        <v>1254</v>
      </c>
      <c r="D1580" s="2" t="s">
        <v>16</v>
      </c>
      <c r="E1580" s="2" t="s">
        <v>14</v>
      </c>
      <c r="F1580" s="6">
        <v>570000.0</v>
      </c>
      <c r="G1580" s="7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ht="15.75" customHeight="1">
      <c r="A1581" s="5" t="s">
        <v>12</v>
      </c>
      <c r="B1581" s="5" t="s">
        <v>13</v>
      </c>
      <c r="C1581" s="2" t="s">
        <v>1255</v>
      </c>
      <c r="D1581" s="2" t="s">
        <v>16</v>
      </c>
      <c r="E1581" s="2" t="s">
        <v>49</v>
      </c>
      <c r="F1581" s="6">
        <v>200000.0</v>
      </c>
      <c r="G1581" s="7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ht="15.75" customHeight="1">
      <c r="A1582" s="5" t="s">
        <v>12</v>
      </c>
      <c r="B1582" s="5" t="s">
        <v>13</v>
      </c>
      <c r="C1582" s="2" t="s">
        <v>1256</v>
      </c>
      <c r="D1582" s="2" t="s">
        <v>16</v>
      </c>
      <c r="E1582" s="2" t="s">
        <v>14</v>
      </c>
      <c r="F1582" s="6">
        <v>0.0</v>
      </c>
      <c r="G1582" s="7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ht="15.75" customHeight="1">
      <c r="A1583" s="5" t="s">
        <v>12</v>
      </c>
      <c r="B1583" s="5" t="s">
        <v>13</v>
      </c>
      <c r="C1583" s="2" t="s">
        <v>1257</v>
      </c>
      <c r="D1583" s="2" t="s">
        <v>16</v>
      </c>
      <c r="E1583" s="2" t="s">
        <v>14</v>
      </c>
      <c r="F1583" s="6">
        <v>0.0</v>
      </c>
      <c r="G1583" s="7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ht="15.75" customHeight="1">
      <c r="A1584" s="5" t="s">
        <v>7</v>
      </c>
      <c r="B1584" s="5" t="s">
        <v>8</v>
      </c>
      <c r="C1584" s="2" t="s">
        <v>1258</v>
      </c>
      <c r="D1584" s="2" t="s">
        <v>16</v>
      </c>
      <c r="E1584" s="2" t="s">
        <v>14</v>
      </c>
      <c r="F1584" s="6">
        <v>0.0</v>
      </c>
      <c r="G1584" s="7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ht="15.75" customHeight="1">
      <c r="A1585" s="5" t="s">
        <v>12</v>
      </c>
      <c r="B1585" s="5" t="s">
        <v>13</v>
      </c>
      <c r="C1585" s="2" t="s">
        <v>1258</v>
      </c>
      <c r="D1585" s="2" t="s">
        <v>16</v>
      </c>
      <c r="E1585" s="2" t="s">
        <v>14</v>
      </c>
      <c r="F1585" s="6">
        <v>200000.0</v>
      </c>
      <c r="G1585" s="7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ht="15.75" customHeight="1">
      <c r="A1586" s="5" t="s">
        <v>12</v>
      </c>
      <c r="B1586" s="5" t="s">
        <v>8</v>
      </c>
      <c r="C1586" s="2" t="s">
        <v>1258</v>
      </c>
      <c r="D1586" s="2" t="s">
        <v>16</v>
      </c>
      <c r="E1586" s="2" t="s">
        <v>49</v>
      </c>
      <c r="F1586" s="6">
        <v>200000.0</v>
      </c>
      <c r="G1586" s="7">
        <v>-173.0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ht="15.75" customHeight="1">
      <c r="A1587" s="5" t="s">
        <v>12</v>
      </c>
      <c r="B1587" s="5" t="s">
        <v>13</v>
      </c>
      <c r="C1587" s="2" t="s">
        <v>1259</v>
      </c>
      <c r="D1587" s="2" t="s">
        <v>16</v>
      </c>
      <c r="E1587" s="2" t="s">
        <v>14</v>
      </c>
      <c r="F1587" s="6">
        <v>0.0</v>
      </c>
      <c r="G1587" s="7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ht="15.75" customHeight="1">
      <c r="A1588" s="5" t="s">
        <v>7</v>
      </c>
      <c r="B1588" s="5" t="s">
        <v>13</v>
      </c>
      <c r="C1588" s="2" t="s">
        <v>1260</v>
      </c>
      <c r="D1588" s="2" t="s">
        <v>32</v>
      </c>
      <c r="E1588" s="2" t="s">
        <v>23</v>
      </c>
      <c r="F1588" s="6">
        <v>800000.0</v>
      </c>
      <c r="G1588" s="7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ht="15.75" customHeight="1">
      <c r="A1589" s="5" t="s">
        <v>12</v>
      </c>
      <c r="B1589" s="5" t="s">
        <v>13</v>
      </c>
      <c r="C1589" s="2" t="s">
        <v>1260</v>
      </c>
      <c r="D1589" s="2" t="s">
        <v>32</v>
      </c>
      <c r="E1589" s="2" t="s">
        <v>17</v>
      </c>
      <c r="F1589" s="6">
        <v>825000.0</v>
      </c>
      <c r="G1589" s="7">
        <v>0.0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ht="15.75" customHeight="1">
      <c r="A1590" s="5" t="s">
        <v>12</v>
      </c>
      <c r="B1590" s="5" t="s">
        <v>13</v>
      </c>
      <c r="C1590" s="2" t="s">
        <v>1261</v>
      </c>
      <c r="D1590" s="2" t="s">
        <v>32</v>
      </c>
      <c r="E1590" s="2" t="s">
        <v>14</v>
      </c>
      <c r="F1590" s="6">
        <v>0.0</v>
      </c>
      <c r="G1590" s="7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ht="15.75" customHeight="1">
      <c r="A1591" s="5" t="s">
        <v>12</v>
      </c>
      <c r="B1591" s="5" t="s">
        <v>13</v>
      </c>
      <c r="C1591" s="2" t="s">
        <v>1262</v>
      </c>
      <c r="D1591" s="2" t="s">
        <v>16</v>
      </c>
      <c r="E1591" s="2" t="s">
        <v>14</v>
      </c>
      <c r="F1591" s="6">
        <v>0.0</v>
      </c>
      <c r="G1591" s="7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ht="15.75" customHeight="1">
      <c r="A1592" s="5" t="s">
        <v>7</v>
      </c>
      <c r="B1592" s="5" t="s">
        <v>8</v>
      </c>
      <c r="C1592" s="2" t="s">
        <v>1263</v>
      </c>
      <c r="D1592" s="2" t="s">
        <v>48</v>
      </c>
      <c r="E1592" s="2" t="s">
        <v>49</v>
      </c>
      <c r="F1592" s="6">
        <v>500000.0</v>
      </c>
      <c r="G1592" s="7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ht="15.75" customHeight="1">
      <c r="A1593" s="5" t="s">
        <v>12</v>
      </c>
      <c r="B1593" s="5" t="s">
        <v>13</v>
      </c>
      <c r="C1593" s="2" t="s">
        <v>1263</v>
      </c>
      <c r="D1593" s="2" t="s">
        <v>48</v>
      </c>
      <c r="E1593" s="2" t="s">
        <v>17</v>
      </c>
      <c r="F1593" s="6">
        <v>2620000.0</v>
      </c>
      <c r="G1593" s="7">
        <v>6.0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ht="15.75" customHeight="1">
      <c r="A1594" s="5" t="s">
        <v>12</v>
      </c>
      <c r="B1594" s="5" t="s">
        <v>8</v>
      </c>
      <c r="C1594" s="2" t="s">
        <v>1263</v>
      </c>
      <c r="D1594" s="2" t="s">
        <v>48</v>
      </c>
      <c r="E1594" s="2" t="s">
        <v>49</v>
      </c>
      <c r="F1594" s="6">
        <v>3500000.0</v>
      </c>
      <c r="G1594" s="7">
        <v>1925521.0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ht="15.75" customHeight="1">
      <c r="A1595" s="5" t="s">
        <v>12</v>
      </c>
      <c r="B1595" s="5" t="s">
        <v>13</v>
      </c>
      <c r="C1595" s="2" t="s">
        <v>1264</v>
      </c>
      <c r="D1595" s="2" t="s">
        <v>48</v>
      </c>
      <c r="E1595" s="2" t="s">
        <v>14</v>
      </c>
      <c r="F1595" s="6">
        <v>0.0</v>
      </c>
      <c r="G1595" s="7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ht="15.75" customHeight="1">
      <c r="A1596" s="5" t="s">
        <v>12</v>
      </c>
      <c r="B1596" s="5" t="s">
        <v>13</v>
      </c>
      <c r="C1596" s="2" t="s">
        <v>1265</v>
      </c>
      <c r="D1596" s="2" t="s">
        <v>16</v>
      </c>
      <c r="E1596" s="2" t="s">
        <v>11</v>
      </c>
      <c r="F1596" s="6">
        <v>500000.0</v>
      </c>
      <c r="G1596" s="7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ht="15.75" customHeight="1">
      <c r="A1597" s="5" t="s">
        <v>12</v>
      </c>
      <c r="B1597" s="5" t="s">
        <v>13</v>
      </c>
      <c r="C1597" s="2" t="s">
        <v>1266</v>
      </c>
      <c r="D1597" s="2" t="s">
        <v>16</v>
      </c>
      <c r="E1597" s="2" t="s">
        <v>14</v>
      </c>
      <c r="F1597" s="6">
        <v>0.0</v>
      </c>
      <c r="G1597" s="7">
        <v>0.0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ht="15.75" customHeight="1">
      <c r="A1598" s="5" t="s">
        <v>7</v>
      </c>
      <c r="B1598" s="5" t="s">
        <v>13</v>
      </c>
      <c r="C1598" s="2" t="s">
        <v>1267</v>
      </c>
      <c r="D1598" s="2" t="s">
        <v>16</v>
      </c>
      <c r="E1598" s="2" t="s">
        <v>14</v>
      </c>
      <c r="F1598" s="6">
        <v>0.0</v>
      </c>
      <c r="G1598" s="7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ht="15.75" customHeight="1">
      <c r="A1599" s="5" t="s">
        <v>12</v>
      </c>
      <c r="B1599" s="5" t="s">
        <v>13</v>
      </c>
      <c r="C1599" s="2" t="s">
        <v>1267</v>
      </c>
      <c r="D1599" s="2" t="s">
        <v>16</v>
      </c>
      <c r="E1599" s="2" t="s">
        <v>96</v>
      </c>
      <c r="F1599" s="6">
        <v>0.0</v>
      </c>
      <c r="G1599" s="7">
        <v>365928.0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ht="15.75" customHeight="1">
      <c r="A1600" s="5" t="s">
        <v>12</v>
      </c>
      <c r="B1600" s="5" t="s">
        <v>13</v>
      </c>
      <c r="C1600" s="2" t="s">
        <v>1268</v>
      </c>
      <c r="D1600" s="2" t="s">
        <v>16</v>
      </c>
      <c r="E1600" s="2" t="s">
        <v>14</v>
      </c>
      <c r="F1600" s="6">
        <v>0.0</v>
      </c>
      <c r="G1600" s="7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ht="15.75" customHeight="1">
      <c r="A1601" s="5" t="s">
        <v>7</v>
      </c>
      <c r="B1601" s="5" t="s">
        <v>13</v>
      </c>
      <c r="C1601" s="2" t="s">
        <v>1269</v>
      </c>
      <c r="D1601" s="2" t="s">
        <v>32</v>
      </c>
      <c r="E1601" s="2" t="s">
        <v>96</v>
      </c>
      <c r="F1601" s="6">
        <v>500000.0</v>
      </c>
      <c r="G1601" s="7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ht="15.75" customHeight="1">
      <c r="A1602" s="5" t="s">
        <v>12</v>
      </c>
      <c r="B1602" s="5" t="s">
        <v>13</v>
      </c>
      <c r="C1602" s="2" t="s">
        <v>1269</v>
      </c>
      <c r="D1602" s="2" t="s">
        <v>32</v>
      </c>
      <c r="E1602" s="2" t="s">
        <v>96</v>
      </c>
      <c r="F1602" s="6">
        <v>1000000.0</v>
      </c>
      <c r="G1602" s="7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4" t="s">
        <v>5</v>
      </c>
      <c r="G1" s="9" t="s">
        <v>6</v>
      </c>
      <c r="H1" s="9" t="s">
        <v>1270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7</v>
      </c>
      <c r="B2" s="11" t="s">
        <v>8</v>
      </c>
      <c r="C2" s="9" t="s">
        <v>9</v>
      </c>
      <c r="D2" s="9" t="s">
        <v>10</v>
      </c>
      <c r="E2" s="9" t="s">
        <v>11</v>
      </c>
      <c r="F2" s="6">
        <v>800000.0</v>
      </c>
      <c r="G2" s="7">
        <v>0.0</v>
      </c>
      <c r="H2" s="12" t="str">
        <f t="array" ref="H2">XLOOKUP(C:C,Sheet3!A:A,Sheet3!B:B)</f>
        <v>#N/A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1" t="s">
        <v>12</v>
      </c>
      <c r="B3" s="11" t="s">
        <v>8</v>
      </c>
      <c r="C3" s="9" t="s">
        <v>9</v>
      </c>
      <c r="D3" s="9" t="s">
        <v>10</v>
      </c>
      <c r="E3" s="9" t="s">
        <v>11</v>
      </c>
      <c r="F3" s="6">
        <v>800000.0</v>
      </c>
      <c r="G3" s="7">
        <v>86376.0</v>
      </c>
      <c r="H3" s="12" t="str">
        <f t="array" ref="H3">XLOOKUP(C:C,Sheet3!A:A,Sheet3!B:B)</f>
        <v>#N/A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1" t="s">
        <v>12</v>
      </c>
      <c r="B4" s="11" t="s">
        <v>13</v>
      </c>
      <c r="C4" s="9" t="s">
        <v>9</v>
      </c>
      <c r="D4" s="9" t="s">
        <v>10</v>
      </c>
      <c r="E4" s="10" t="s">
        <v>14</v>
      </c>
      <c r="F4" s="6">
        <v>0.0</v>
      </c>
      <c r="G4" s="7">
        <v>0.0</v>
      </c>
      <c r="H4" s="12" t="str">
        <f t="array" ref="H4">XLOOKUP(C:C,Sheet3!A:A,Sheet3!B:B)</f>
        <v>#N/A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1" t="s">
        <v>7</v>
      </c>
      <c r="B5" s="11" t="s">
        <v>13</v>
      </c>
      <c r="C5" s="9" t="s">
        <v>15</v>
      </c>
      <c r="D5" s="9" t="s">
        <v>16</v>
      </c>
      <c r="E5" s="9" t="s">
        <v>17</v>
      </c>
      <c r="F5" s="6">
        <v>0.0</v>
      </c>
      <c r="G5" s="7">
        <v>0.0</v>
      </c>
      <c r="H5" s="12" t="str">
        <f t="array" ref="H5">XLOOKUP(C:C,Sheet3!A:A,Sheet3!B:B)</f>
        <v>#N/A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1" t="s">
        <v>12</v>
      </c>
      <c r="B6" s="11" t="s">
        <v>13</v>
      </c>
      <c r="C6" s="9" t="s">
        <v>15</v>
      </c>
      <c r="D6" s="9" t="s">
        <v>16</v>
      </c>
      <c r="E6" s="10" t="s">
        <v>14</v>
      </c>
      <c r="F6" s="6">
        <v>0.0</v>
      </c>
      <c r="G6" s="7">
        <v>0.0</v>
      </c>
      <c r="H6" s="12" t="str">
        <f t="array" ref="H6">XLOOKUP(C:C,Sheet3!A:A,Sheet3!B:B)</f>
        <v>#N/A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1" t="s">
        <v>12</v>
      </c>
      <c r="B7" s="11" t="s">
        <v>13</v>
      </c>
      <c r="C7" s="9" t="s">
        <v>18</v>
      </c>
      <c r="D7" s="9" t="s">
        <v>19</v>
      </c>
      <c r="E7" s="9" t="s">
        <v>11</v>
      </c>
      <c r="F7" s="6">
        <v>350000.0</v>
      </c>
      <c r="G7" s="7">
        <v>0.0</v>
      </c>
      <c r="H7" s="12" t="str">
        <f t="array" ref="H7">XLOOKUP(C:C,Sheet3!A:A,Sheet3!B:B)</f>
        <v>#N/A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1" t="s">
        <v>12</v>
      </c>
      <c r="B8" s="11" t="s">
        <v>13</v>
      </c>
      <c r="C8" s="9" t="s">
        <v>20</v>
      </c>
      <c r="D8" s="9" t="s">
        <v>10</v>
      </c>
      <c r="E8" s="10" t="s">
        <v>14</v>
      </c>
      <c r="F8" s="6">
        <v>0.0</v>
      </c>
      <c r="G8" s="7">
        <v>0.0</v>
      </c>
      <c r="H8" s="12" t="str">
        <f t="array" ref="H8">XLOOKUP(C:C,Sheet3!A:A,Sheet3!B:B)</f>
        <v>#N/A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1" t="s">
        <v>7</v>
      </c>
      <c r="B9" s="11" t="s">
        <v>8</v>
      </c>
      <c r="C9" s="9" t="s">
        <v>21</v>
      </c>
      <c r="D9" s="9" t="s">
        <v>16</v>
      </c>
      <c r="E9" s="10" t="s">
        <v>14</v>
      </c>
      <c r="F9" s="6">
        <v>0.0</v>
      </c>
      <c r="G9" s="7">
        <v>0.0</v>
      </c>
      <c r="H9" s="12">
        <v>0.0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1" t="s">
        <v>12</v>
      </c>
      <c r="B10" s="11" t="s">
        <v>13</v>
      </c>
      <c r="C10" s="9" t="s">
        <v>21</v>
      </c>
      <c r="D10" s="9" t="s">
        <v>16</v>
      </c>
      <c r="E10" s="10" t="s">
        <v>14</v>
      </c>
      <c r="F10" s="6">
        <v>0.0</v>
      </c>
      <c r="G10" s="7">
        <v>-500000.0</v>
      </c>
      <c r="H10" s="12">
        <v>0.0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1" t="s">
        <v>12</v>
      </c>
      <c r="B11" s="11" t="s">
        <v>8</v>
      </c>
      <c r="C11" s="9" t="s">
        <v>21</v>
      </c>
      <c r="D11" s="9" t="s">
        <v>16</v>
      </c>
      <c r="E11" s="10" t="s">
        <v>14</v>
      </c>
      <c r="F11" s="6">
        <v>0.0</v>
      </c>
      <c r="G11" s="7">
        <v>0.0</v>
      </c>
      <c r="H11" s="12">
        <v>0.0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1" t="s">
        <v>7</v>
      </c>
      <c r="B12" s="11" t="s">
        <v>13</v>
      </c>
      <c r="C12" s="9" t="s">
        <v>22</v>
      </c>
      <c r="D12" s="9" t="s">
        <v>19</v>
      </c>
      <c r="E12" s="9" t="s">
        <v>23</v>
      </c>
      <c r="F12" s="6">
        <v>50000.0</v>
      </c>
      <c r="G12" s="7">
        <v>0.0</v>
      </c>
      <c r="H12" s="12" t="str">
        <f t="array" ref="H12">XLOOKUP(C:C,Sheet3!A:A,Sheet3!B:B)</f>
        <v>#N/A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1" t="s">
        <v>12</v>
      </c>
      <c r="B13" s="11" t="s">
        <v>13</v>
      </c>
      <c r="C13" s="9" t="s">
        <v>22</v>
      </c>
      <c r="D13" s="9" t="s">
        <v>19</v>
      </c>
      <c r="E13" s="9" t="s">
        <v>17</v>
      </c>
      <c r="F13" s="6">
        <v>500000.0</v>
      </c>
      <c r="G13" s="7">
        <v>515011.0</v>
      </c>
      <c r="H13" s="12" t="str">
        <f t="array" ref="H13">XLOOKUP(C:C,Sheet3!A:A,Sheet3!B:B)</f>
        <v>#N/A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1" t="s">
        <v>12</v>
      </c>
      <c r="B14" s="11" t="s">
        <v>13</v>
      </c>
      <c r="C14" s="9" t="s">
        <v>24</v>
      </c>
      <c r="D14" s="9" t="s">
        <v>19</v>
      </c>
      <c r="E14" s="10" t="s">
        <v>14</v>
      </c>
      <c r="F14" s="6">
        <v>0.0</v>
      </c>
      <c r="G14" s="7">
        <v>0.0</v>
      </c>
      <c r="H14" s="12">
        <v>0.0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1" t="s">
        <v>12</v>
      </c>
      <c r="B15" s="11" t="s">
        <v>13</v>
      </c>
      <c r="C15" s="9" t="s">
        <v>25</v>
      </c>
      <c r="D15" s="9" t="s">
        <v>26</v>
      </c>
      <c r="E15" s="9" t="s">
        <v>27</v>
      </c>
      <c r="F15" s="6">
        <v>1500000.0</v>
      </c>
      <c r="G15" s="7">
        <v>1047132.0</v>
      </c>
      <c r="H15" s="12" t="str">
        <f t="array" ref="H15">XLOOKUP(C:C,Sheet3!A:A,Sheet3!B:B)</f>
        <v>#N/A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1" t="s">
        <v>12</v>
      </c>
      <c r="B16" s="11" t="s">
        <v>13</v>
      </c>
      <c r="C16" s="9" t="s">
        <v>28</v>
      </c>
      <c r="D16" s="9" t="s">
        <v>26</v>
      </c>
      <c r="E16" s="10" t="s">
        <v>14</v>
      </c>
      <c r="F16" s="6">
        <v>0.0</v>
      </c>
      <c r="G16" s="7">
        <v>0.0</v>
      </c>
      <c r="H16" s="12">
        <v>0.0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1" t="s">
        <v>12</v>
      </c>
      <c r="B17" s="11" t="s">
        <v>13</v>
      </c>
      <c r="C17" s="9" t="s">
        <v>29</v>
      </c>
      <c r="D17" s="9" t="s">
        <v>16</v>
      </c>
      <c r="E17" s="10" t="s">
        <v>14</v>
      </c>
      <c r="F17" s="6">
        <v>0.0</v>
      </c>
      <c r="G17" s="7">
        <v>0.0</v>
      </c>
      <c r="H17" s="12">
        <v>0.0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1" t="s">
        <v>12</v>
      </c>
      <c r="B18" s="11" t="s">
        <v>13</v>
      </c>
      <c r="C18" s="9" t="s">
        <v>30</v>
      </c>
      <c r="D18" s="9" t="s">
        <v>16</v>
      </c>
      <c r="E18" s="9" t="s">
        <v>11</v>
      </c>
      <c r="F18" s="6">
        <v>950000.0</v>
      </c>
      <c r="G18" s="7">
        <v>0.0</v>
      </c>
      <c r="H18" s="12" t="str">
        <f t="array" ref="H18">XLOOKUP(C:C,Sheet3!A:A,Sheet3!B:B)</f>
        <v>#N/A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1" t="s">
        <v>7</v>
      </c>
      <c r="B19" s="11" t="s">
        <v>13</v>
      </c>
      <c r="C19" s="9" t="s">
        <v>31</v>
      </c>
      <c r="D19" s="9" t="s">
        <v>32</v>
      </c>
      <c r="E19" s="9" t="s">
        <v>33</v>
      </c>
      <c r="F19" s="6">
        <v>2500000.0</v>
      </c>
      <c r="G19" s="7">
        <v>0.0</v>
      </c>
      <c r="H19" s="12" t="str">
        <f t="array" ref="H19">XLOOKUP(C:C,Sheet3!A:A,Sheet3!B:B)</f>
        <v>#N/A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1" t="s">
        <v>12</v>
      </c>
      <c r="B20" s="11" t="s">
        <v>13</v>
      </c>
      <c r="C20" s="9" t="s">
        <v>31</v>
      </c>
      <c r="D20" s="9" t="s">
        <v>32</v>
      </c>
      <c r="E20" s="9" t="s">
        <v>17</v>
      </c>
      <c r="F20" s="6">
        <v>7200000.0</v>
      </c>
      <c r="G20" s="7">
        <v>1041254.0</v>
      </c>
      <c r="H20" s="12" t="str">
        <f t="array" ref="H20">XLOOKUP(C:C,Sheet3!A:A,Sheet3!B:B)</f>
        <v>#N/A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1" t="s">
        <v>12</v>
      </c>
      <c r="B21" s="11" t="s">
        <v>13</v>
      </c>
      <c r="C21" s="9" t="s">
        <v>34</v>
      </c>
      <c r="D21" s="9" t="s">
        <v>32</v>
      </c>
      <c r="E21" s="10" t="s">
        <v>14</v>
      </c>
      <c r="F21" s="6">
        <v>0.0</v>
      </c>
      <c r="G21" s="7">
        <v>0.0</v>
      </c>
      <c r="H21" s="12" t="str">
        <f t="array" ref="H21">XLOOKUP(C:C,Sheet3!A:A,Sheet3!B:B)</f>
        <v>#N/A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1" t="s">
        <v>12</v>
      </c>
      <c r="B22" s="11" t="s">
        <v>13</v>
      </c>
      <c r="C22" s="9" t="s">
        <v>35</v>
      </c>
      <c r="D22" s="9" t="s">
        <v>16</v>
      </c>
      <c r="E22" s="9" t="s">
        <v>11</v>
      </c>
      <c r="F22" s="6">
        <v>400000.0</v>
      </c>
      <c r="G22" s="7">
        <v>0.0</v>
      </c>
      <c r="H22" s="12" t="str">
        <f t="array" ref="H22">XLOOKUP(C:C,Sheet3!A:A,Sheet3!B:B)</f>
        <v>#N/A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1" t="s">
        <v>12</v>
      </c>
      <c r="B23" s="11" t="s">
        <v>8</v>
      </c>
      <c r="C23" s="9" t="s">
        <v>36</v>
      </c>
      <c r="D23" s="9" t="s">
        <v>16</v>
      </c>
      <c r="E23" s="10" t="s">
        <v>14</v>
      </c>
      <c r="F23" s="6">
        <v>0.0</v>
      </c>
      <c r="G23" s="7">
        <v>0.0</v>
      </c>
      <c r="H23" s="12">
        <v>0.0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1" t="s">
        <v>12</v>
      </c>
      <c r="B24" s="11" t="s">
        <v>13</v>
      </c>
      <c r="C24" s="9" t="s">
        <v>37</v>
      </c>
      <c r="D24" s="9" t="s">
        <v>16</v>
      </c>
      <c r="E24" s="10" t="s">
        <v>14</v>
      </c>
      <c r="F24" s="6">
        <v>0.0</v>
      </c>
      <c r="G24" s="7">
        <v>0.0</v>
      </c>
      <c r="H24" s="12">
        <v>0.0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1" t="s">
        <v>12</v>
      </c>
      <c r="B25" s="11" t="s">
        <v>13</v>
      </c>
      <c r="C25" s="9" t="s">
        <v>38</v>
      </c>
      <c r="D25" s="9" t="s">
        <v>16</v>
      </c>
      <c r="E25" s="10" t="s">
        <v>14</v>
      </c>
      <c r="F25" s="6">
        <v>0.0</v>
      </c>
      <c r="G25" s="7">
        <v>0.0</v>
      </c>
      <c r="H25" s="12">
        <v>0.0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1" t="s">
        <v>12</v>
      </c>
      <c r="B26" s="11" t="s">
        <v>13</v>
      </c>
      <c r="C26" s="9" t="s">
        <v>39</v>
      </c>
      <c r="D26" s="9" t="s">
        <v>16</v>
      </c>
      <c r="E26" s="10" t="s">
        <v>14</v>
      </c>
      <c r="F26" s="6">
        <v>0.0</v>
      </c>
      <c r="G26" s="7">
        <v>300000.0</v>
      </c>
      <c r="H26" s="12" t="str">
        <f t="array" ref="H26">XLOOKUP(C:C,Sheet3!A:A,Sheet3!B:B)</f>
        <v>#N/A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1" t="s">
        <v>12</v>
      </c>
      <c r="B27" s="11" t="s">
        <v>13</v>
      </c>
      <c r="C27" s="9" t="s">
        <v>40</v>
      </c>
      <c r="D27" s="9" t="s">
        <v>16</v>
      </c>
      <c r="E27" s="10" t="s">
        <v>14</v>
      </c>
      <c r="F27" s="6">
        <v>0.0</v>
      </c>
      <c r="G27" s="7">
        <v>2534400.0</v>
      </c>
      <c r="H27" s="12">
        <v>0.0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1" t="s">
        <v>12</v>
      </c>
      <c r="B28" s="11" t="s">
        <v>13</v>
      </c>
      <c r="C28" s="9" t="s">
        <v>41</v>
      </c>
      <c r="D28" s="9" t="s">
        <v>16</v>
      </c>
      <c r="E28" s="10" t="s">
        <v>14</v>
      </c>
      <c r="F28" s="6">
        <v>0.0</v>
      </c>
      <c r="G28" s="7">
        <v>0.0</v>
      </c>
      <c r="H28" s="12">
        <v>0.0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1" t="s">
        <v>7</v>
      </c>
      <c r="B29" s="11" t="s">
        <v>13</v>
      </c>
      <c r="C29" s="9" t="s">
        <v>42</v>
      </c>
      <c r="D29" s="9" t="s">
        <v>32</v>
      </c>
      <c r="E29" s="9" t="s">
        <v>17</v>
      </c>
      <c r="F29" s="6">
        <v>100000.0</v>
      </c>
      <c r="G29" s="7">
        <v>0.0</v>
      </c>
      <c r="H29" s="12" t="str">
        <f t="array" ref="H29">XLOOKUP(C:C,Sheet3!A:A,Sheet3!B:B)</f>
        <v>#N/A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1" t="s">
        <v>12</v>
      </c>
      <c r="B30" s="11" t="s">
        <v>13</v>
      </c>
      <c r="C30" s="9" t="s">
        <v>42</v>
      </c>
      <c r="D30" s="9" t="s">
        <v>32</v>
      </c>
      <c r="E30" s="9" t="s">
        <v>17</v>
      </c>
      <c r="F30" s="6">
        <v>4000000.0</v>
      </c>
      <c r="G30" s="7">
        <v>2502447.0</v>
      </c>
      <c r="H30" s="12" t="str">
        <f t="array" ref="H30">XLOOKUP(C:C,Sheet3!A:A,Sheet3!B:B)</f>
        <v>#N/A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1" t="s">
        <v>12</v>
      </c>
      <c r="B31" s="11" t="s">
        <v>13</v>
      </c>
      <c r="C31" s="9" t="s">
        <v>43</v>
      </c>
      <c r="D31" s="9" t="s">
        <v>16</v>
      </c>
      <c r="E31" s="10" t="s">
        <v>14</v>
      </c>
      <c r="F31" s="6">
        <v>0.0</v>
      </c>
      <c r="G31" s="7">
        <v>-1956.0</v>
      </c>
      <c r="H31" s="12">
        <v>0.0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1" t="s">
        <v>12</v>
      </c>
      <c r="B32" s="11" t="s">
        <v>13</v>
      </c>
      <c r="C32" s="9" t="s">
        <v>44</v>
      </c>
      <c r="D32" s="9" t="s">
        <v>16</v>
      </c>
      <c r="E32" s="10" t="s">
        <v>14</v>
      </c>
      <c r="F32" s="6">
        <v>0.0</v>
      </c>
      <c r="G32" s="7">
        <v>0.0</v>
      </c>
      <c r="H32" s="12">
        <v>0.0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1" t="s">
        <v>12</v>
      </c>
      <c r="B33" s="11" t="s">
        <v>13</v>
      </c>
      <c r="C33" s="9" t="s">
        <v>45</v>
      </c>
      <c r="D33" s="9" t="s">
        <v>16</v>
      </c>
      <c r="E33" s="10" t="s">
        <v>14</v>
      </c>
      <c r="F33" s="6">
        <v>0.0</v>
      </c>
      <c r="G33" s="7">
        <v>0.0</v>
      </c>
      <c r="H33" s="12">
        <v>0.0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1" t="s">
        <v>12</v>
      </c>
      <c r="B34" s="11" t="s">
        <v>13</v>
      </c>
      <c r="C34" s="9" t="s">
        <v>46</v>
      </c>
      <c r="D34" s="9" t="s">
        <v>16</v>
      </c>
      <c r="E34" s="10" t="s">
        <v>14</v>
      </c>
      <c r="F34" s="6">
        <v>0.0</v>
      </c>
      <c r="G34" s="7">
        <v>0.0</v>
      </c>
      <c r="H34" s="12">
        <v>0.0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1" t="s">
        <v>12</v>
      </c>
      <c r="B35" s="11" t="s">
        <v>13</v>
      </c>
      <c r="C35" s="9" t="s">
        <v>47</v>
      </c>
      <c r="D35" s="9" t="s">
        <v>48</v>
      </c>
      <c r="E35" s="9" t="s">
        <v>49</v>
      </c>
      <c r="F35" s="6">
        <v>600000.0</v>
      </c>
      <c r="G35" s="7">
        <v>25025.0</v>
      </c>
      <c r="H35" s="12" t="str">
        <f t="array" ref="H35">XLOOKUP(C:C,Sheet3!A:A,Sheet3!B:B)</f>
        <v>#N/A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1" t="s">
        <v>12</v>
      </c>
      <c r="B36" s="11" t="s">
        <v>8</v>
      </c>
      <c r="C36" s="9" t="s">
        <v>47</v>
      </c>
      <c r="D36" s="9" t="s">
        <v>48</v>
      </c>
      <c r="E36" s="9" t="s">
        <v>49</v>
      </c>
      <c r="F36" s="6">
        <v>1241782.0</v>
      </c>
      <c r="G36" s="7">
        <v>186735.0</v>
      </c>
      <c r="H36" s="12" t="str">
        <f t="array" ref="H36">XLOOKUP(C:C,Sheet3!A:A,Sheet3!B:B)</f>
        <v>#N/A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1" t="s">
        <v>7</v>
      </c>
      <c r="B37" s="11" t="s">
        <v>13</v>
      </c>
      <c r="C37" s="9" t="s">
        <v>50</v>
      </c>
      <c r="D37" s="9" t="s">
        <v>26</v>
      </c>
      <c r="E37" s="10" t="s">
        <v>14</v>
      </c>
      <c r="F37" s="6">
        <v>300000.0</v>
      </c>
      <c r="G37" s="7">
        <v>0.0</v>
      </c>
      <c r="H37" s="12" t="str">
        <f t="array" ref="H37">XLOOKUP(C:C,Sheet3!A:A,Sheet3!B:B)</f>
        <v>#N/A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1" t="s">
        <v>12</v>
      </c>
      <c r="B38" s="11" t="s">
        <v>13</v>
      </c>
      <c r="C38" s="9" t="s">
        <v>51</v>
      </c>
      <c r="D38" s="9" t="s">
        <v>26</v>
      </c>
      <c r="E38" s="10" t="s">
        <v>14</v>
      </c>
      <c r="F38" s="6">
        <v>0.0</v>
      </c>
      <c r="G38" s="7">
        <v>0.0</v>
      </c>
      <c r="H38" s="12" t="str">
        <f t="array" ref="H38">XLOOKUP(C:C,Sheet3!A:A,Sheet3!B:B)</f>
        <v>#N/A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1" t="s">
        <v>12</v>
      </c>
      <c r="B39" s="11" t="s">
        <v>13</v>
      </c>
      <c r="C39" s="9" t="s">
        <v>52</v>
      </c>
      <c r="D39" s="9" t="s">
        <v>26</v>
      </c>
      <c r="E39" s="10" t="s">
        <v>14</v>
      </c>
      <c r="F39" s="6">
        <v>650000.0</v>
      </c>
      <c r="G39" s="7">
        <v>0.0</v>
      </c>
      <c r="H39" s="12" t="str">
        <f t="array" ref="H39">XLOOKUP(C:C,Sheet3!A:A,Sheet3!B:B)</f>
        <v>#N/A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1" t="s">
        <v>12</v>
      </c>
      <c r="B40" s="11" t="s">
        <v>13</v>
      </c>
      <c r="C40" s="9" t="s">
        <v>53</v>
      </c>
      <c r="D40" s="9" t="s">
        <v>16</v>
      </c>
      <c r="E40" s="10" t="s">
        <v>14</v>
      </c>
      <c r="F40" s="6">
        <v>0.0</v>
      </c>
      <c r="G40" s="7">
        <v>0.0</v>
      </c>
      <c r="H40" s="12">
        <v>0.0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1" t="s">
        <v>12</v>
      </c>
      <c r="B41" s="11" t="s">
        <v>13</v>
      </c>
      <c r="C41" s="9" t="s">
        <v>54</v>
      </c>
      <c r="D41" s="9" t="s">
        <v>16</v>
      </c>
      <c r="E41" s="9" t="s">
        <v>55</v>
      </c>
      <c r="F41" s="6">
        <v>450000.0</v>
      </c>
      <c r="G41" s="7">
        <v>0.0</v>
      </c>
      <c r="H41" s="12" t="str">
        <f t="array" ref="H41">XLOOKUP(C:C,Sheet3!A:A,Sheet3!B:B)</f>
        <v>#N/A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1" t="s">
        <v>12</v>
      </c>
      <c r="B42" s="11" t="s">
        <v>13</v>
      </c>
      <c r="C42" s="9" t="s">
        <v>56</v>
      </c>
      <c r="D42" s="9" t="s">
        <v>16</v>
      </c>
      <c r="E42" s="9" t="s">
        <v>49</v>
      </c>
      <c r="F42" s="6">
        <v>0.0</v>
      </c>
      <c r="G42" s="7">
        <v>0.0</v>
      </c>
      <c r="H42" s="12">
        <v>0.0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1" t="s">
        <v>12</v>
      </c>
      <c r="B43" s="11" t="s">
        <v>13</v>
      </c>
      <c r="C43" s="9" t="s">
        <v>57</v>
      </c>
      <c r="D43" s="9" t="s">
        <v>16</v>
      </c>
      <c r="E43" s="10" t="s">
        <v>14</v>
      </c>
      <c r="F43" s="6">
        <v>0.0</v>
      </c>
      <c r="G43" s="7">
        <v>0.0</v>
      </c>
      <c r="H43" s="12">
        <v>0.0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1" t="s">
        <v>12</v>
      </c>
      <c r="B44" s="11" t="s">
        <v>13</v>
      </c>
      <c r="C44" s="9" t="s">
        <v>58</v>
      </c>
      <c r="D44" s="9" t="s">
        <v>16</v>
      </c>
      <c r="E44" s="10" t="s">
        <v>14</v>
      </c>
      <c r="F44" s="6">
        <v>0.0</v>
      </c>
      <c r="G44" s="7">
        <v>0.0</v>
      </c>
      <c r="H44" s="12">
        <v>0.0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1" t="s">
        <v>12</v>
      </c>
      <c r="B45" s="11" t="s">
        <v>13</v>
      </c>
      <c r="C45" s="9" t="s">
        <v>59</v>
      </c>
      <c r="D45" s="9" t="s">
        <v>26</v>
      </c>
      <c r="E45" s="9" t="s">
        <v>17</v>
      </c>
      <c r="F45" s="6">
        <v>550000.0</v>
      </c>
      <c r="G45" s="7">
        <v>40710.0</v>
      </c>
      <c r="H45" s="12" t="str">
        <f t="array" ref="H45">XLOOKUP(C:C,Sheet3!A:A,Sheet3!B:B)</f>
        <v>#N/A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1" t="s">
        <v>12</v>
      </c>
      <c r="B46" s="11" t="s">
        <v>8</v>
      </c>
      <c r="C46" s="9" t="s">
        <v>60</v>
      </c>
      <c r="D46" s="9" t="s">
        <v>10</v>
      </c>
      <c r="E46" s="10" t="s">
        <v>14</v>
      </c>
      <c r="F46" s="6">
        <v>0.0</v>
      </c>
      <c r="G46" s="7">
        <v>0.0</v>
      </c>
      <c r="H46" s="12" t="str">
        <f t="array" ref="H46">XLOOKUP(C:C,Sheet3!A:A,Sheet3!B:B)</f>
        <v>#N/A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1" t="s">
        <v>12</v>
      </c>
      <c r="B47" s="11" t="s">
        <v>13</v>
      </c>
      <c r="C47" s="9" t="s">
        <v>61</v>
      </c>
      <c r="D47" s="9" t="s">
        <v>16</v>
      </c>
      <c r="E47" s="10" t="s">
        <v>14</v>
      </c>
      <c r="F47" s="6">
        <v>1210000.0</v>
      </c>
      <c r="G47" s="7">
        <v>-510328.0</v>
      </c>
      <c r="H47" s="12">
        <v>0.0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1" t="s">
        <v>12</v>
      </c>
      <c r="B48" s="11" t="s">
        <v>8</v>
      </c>
      <c r="C48" s="9" t="s">
        <v>61</v>
      </c>
      <c r="D48" s="9" t="s">
        <v>16</v>
      </c>
      <c r="E48" s="10" t="s">
        <v>14</v>
      </c>
      <c r="F48" s="6">
        <v>0.0</v>
      </c>
      <c r="G48" s="7">
        <v>0.0</v>
      </c>
      <c r="H48" s="12">
        <v>0.0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1" t="s">
        <v>12</v>
      </c>
      <c r="B49" s="11" t="s">
        <v>13</v>
      </c>
      <c r="C49" s="9" t="s">
        <v>62</v>
      </c>
      <c r="D49" s="9" t="s">
        <v>16</v>
      </c>
      <c r="E49" s="10" t="s">
        <v>14</v>
      </c>
      <c r="F49" s="6">
        <v>4000.0</v>
      </c>
      <c r="G49" s="7">
        <v>0.0</v>
      </c>
      <c r="H49" s="12" t="str">
        <f t="array" ref="H49">XLOOKUP(C:C,Sheet3!A:A,Sheet3!B:B)</f>
        <v>#N/A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1" t="s">
        <v>7</v>
      </c>
      <c r="B50" s="11" t="s">
        <v>8</v>
      </c>
      <c r="C50" s="9" t="s">
        <v>63</v>
      </c>
      <c r="D50" s="9" t="s">
        <v>48</v>
      </c>
      <c r="E50" s="10" t="s">
        <v>14</v>
      </c>
      <c r="F50" s="6">
        <v>0.0</v>
      </c>
      <c r="G50" s="7">
        <v>0.0</v>
      </c>
      <c r="H50" s="12" t="str">
        <f t="array" ref="H50">XLOOKUP(C:C,Sheet3!A:A,Sheet3!B:B)</f>
        <v>#N/A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1" t="s">
        <v>12</v>
      </c>
      <c r="B51" s="11" t="s">
        <v>8</v>
      </c>
      <c r="C51" s="9" t="s">
        <v>63</v>
      </c>
      <c r="D51" s="9" t="s">
        <v>48</v>
      </c>
      <c r="E51" s="9" t="s">
        <v>11</v>
      </c>
      <c r="F51" s="6">
        <v>1989490.0</v>
      </c>
      <c r="G51" s="7">
        <v>2085525.5</v>
      </c>
      <c r="H51" s="12" t="str">
        <f t="array" ref="H51">XLOOKUP(C:C,Sheet3!A:A,Sheet3!B:B)</f>
        <v>#N/A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1" t="s">
        <v>12</v>
      </c>
      <c r="B52" s="11" t="s">
        <v>13</v>
      </c>
      <c r="C52" s="9" t="s">
        <v>64</v>
      </c>
      <c r="D52" s="9" t="s">
        <v>48</v>
      </c>
      <c r="E52" s="10" t="s">
        <v>14</v>
      </c>
      <c r="F52" s="6">
        <v>0.0</v>
      </c>
      <c r="G52" s="7">
        <v>0.0</v>
      </c>
      <c r="H52" s="12" t="str">
        <f t="array" ref="H52">XLOOKUP(C:C,Sheet3!A:A,Sheet3!B:B)</f>
        <v>#N/A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1" t="s">
        <v>12</v>
      </c>
      <c r="B53" s="11" t="s">
        <v>8</v>
      </c>
      <c r="C53" s="9" t="s">
        <v>64</v>
      </c>
      <c r="D53" s="9" t="s">
        <v>48</v>
      </c>
      <c r="E53" s="10" t="s">
        <v>14</v>
      </c>
      <c r="F53" s="6">
        <v>0.0</v>
      </c>
      <c r="G53" s="7">
        <v>2595000.0</v>
      </c>
      <c r="H53" s="12" t="str">
        <f t="array" ref="H53">XLOOKUP(C:C,Sheet3!A:A,Sheet3!B:B)</f>
        <v>#N/A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1" t="s">
        <v>12</v>
      </c>
      <c r="B54" s="11" t="s">
        <v>8</v>
      </c>
      <c r="C54" s="9" t="s">
        <v>65</v>
      </c>
      <c r="D54" s="9" t="s">
        <v>48</v>
      </c>
      <c r="E54" s="9" t="s">
        <v>11</v>
      </c>
      <c r="F54" s="6">
        <v>0.0</v>
      </c>
      <c r="G54" s="7">
        <v>0.0</v>
      </c>
      <c r="H54" s="12" t="str">
        <f t="array" ref="H54">XLOOKUP(C:C,Sheet3!A:A,Sheet3!B:B)</f>
        <v>#N/A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1" t="s">
        <v>12</v>
      </c>
      <c r="B55" s="11" t="s">
        <v>13</v>
      </c>
      <c r="C55" s="9" t="s">
        <v>66</v>
      </c>
      <c r="D55" s="9" t="s">
        <v>48</v>
      </c>
      <c r="E55" s="10" t="s">
        <v>14</v>
      </c>
      <c r="F55" s="6">
        <v>0.0</v>
      </c>
      <c r="G55" s="7">
        <v>0.0</v>
      </c>
      <c r="H55" s="12" t="str">
        <f t="array" ref="H55">XLOOKUP(C:C,Sheet3!A:A,Sheet3!B:B)</f>
        <v>#N/A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1" t="s">
        <v>12</v>
      </c>
      <c r="B56" s="11" t="s">
        <v>13</v>
      </c>
      <c r="C56" s="9" t="s">
        <v>67</v>
      </c>
      <c r="D56" s="9" t="s">
        <v>19</v>
      </c>
      <c r="E56" s="10" t="s">
        <v>14</v>
      </c>
      <c r="F56" s="6">
        <v>0.0</v>
      </c>
      <c r="G56" s="7">
        <v>0.0</v>
      </c>
      <c r="H56" s="12" t="str">
        <f t="array" ref="H56">XLOOKUP(C:C,Sheet3!A:A,Sheet3!B:B)</f>
        <v>#N/A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1" t="s">
        <v>12</v>
      </c>
      <c r="B57" s="11" t="s">
        <v>13</v>
      </c>
      <c r="C57" s="9" t="s">
        <v>68</v>
      </c>
      <c r="D57" s="9" t="s">
        <v>32</v>
      </c>
      <c r="E57" s="9" t="s">
        <v>49</v>
      </c>
      <c r="F57" s="6">
        <v>900000.0</v>
      </c>
      <c r="G57" s="7">
        <v>0.0</v>
      </c>
      <c r="H57" s="12" t="str">
        <f t="array" ref="H57">XLOOKUP(C:C,Sheet3!A:A,Sheet3!B:B)</f>
        <v>#N/A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1" t="s">
        <v>12</v>
      </c>
      <c r="B58" s="11" t="s">
        <v>13</v>
      </c>
      <c r="C58" s="9" t="s">
        <v>69</v>
      </c>
      <c r="D58" s="9" t="s">
        <v>16</v>
      </c>
      <c r="E58" s="10" t="s">
        <v>14</v>
      </c>
      <c r="F58" s="6">
        <v>0.0</v>
      </c>
      <c r="G58" s="7">
        <v>0.0</v>
      </c>
      <c r="H58" s="12">
        <v>0.0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1" t="s">
        <v>12</v>
      </c>
      <c r="B59" s="11" t="s">
        <v>13</v>
      </c>
      <c r="C59" s="9" t="s">
        <v>70</v>
      </c>
      <c r="D59" s="9" t="s">
        <v>16</v>
      </c>
      <c r="E59" s="10" t="s">
        <v>14</v>
      </c>
      <c r="F59" s="6">
        <v>0.0</v>
      </c>
      <c r="G59" s="7">
        <v>0.0</v>
      </c>
      <c r="H59" s="12">
        <v>0.0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1" t="s">
        <v>7</v>
      </c>
      <c r="B60" s="11" t="s">
        <v>8</v>
      </c>
      <c r="C60" s="9" t="s">
        <v>71</v>
      </c>
      <c r="D60" s="9" t="s">
        <v>10</v>
      </c>
      <c r="E60" s="9" t="s">
        <v>11</v>
      </c>
      <c r="F60" s="6">
        <v>414745.0</v>
      </c>
      <c r="G60" s="7">
        <v>0.0</v>
      </c>
      <c r="H60" s="12" t="str">
        <f t="array" ref="H60">XLOOKUP(C:C,Sheet3!A:A,Sheet3!B:B)</f>
        <v>#N/A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1" t="s">
        <v>7</v>
      </c>
      <c r="B61" s="11" t="s">
        <v>13</v>
      </c>
      <c r="C61" s="9" t="s">
        <v>71</v>
      </c>
      <c r="D61" s="9" t="s">
        <v>10</v>
      </c>
      <c r="E61" s="10" t="s">
        <v>14</v>
      </c>
      <c r="F61" s="6">
        <v>0.0</v>
      </c>
      <c r="G61" s="7">
        <v>0.0</v>
      </c>
      <c r="H61" s="12" t="str">
        <f t="array" ref="H61">XLOOKUP(C:C,Sheet3!A:A,Sheet3!B:B)</f>
        <v>#N/A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1" t="s">
        <v>12</v>
      </c>
      <c r="B62" s="11" t="s">
        <v>13</v>
      </c>
      <c r="C62" s="9" t="s">
        <v>71</v>
      </c>
      <c r="D62" s="9" t="s">
        <v>10</v>
      </c>
      <c r="E62" s="10" t="s">
        <v>14</v>
      </c>
      <c r="F62" s="6">
        <v>0.0</v>
      </c>
      <c r="G62" s="7">
        <v>0.0</v>
      </c>
      <c r="H62" s="12" t="str">
        <f t="array" ref="H62">XLOOKUP(C:C,Sheet3!A:A,Sheet3!B:B)</f>
        <v>#N/A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1" t="s">
        <v>12</v>
      </c>
      <c r="B63" s="11" t="s">
        <v>8</v>
      </c>
      <c r="C63" s="9" t="s">
        <v>71</v>
      </c>
      <c r="D63" s="9" t="s">
        <v>10</v>
      </c>
      <c r="E63" s="9" t="s">
        <v>11</v>
      </c>
      <c r="F63" s="6">
        <v>500000.0</v>
      </c>
      <c r="G63" s="7">
        <v>0.0</v>
      </c>
      <c r="H63" s="12" t="str">
        <f t="array" ref="H63">XLOOKUP(C:C,Sheet3!A:A,Sheet3!B:B)</f>
        <v>#N/A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1" t="s">
        <v>12</v>
      </c>
      <c r="B64" s="11" t="s">
        <v>13</v>
      </c>
      <c r="C64" s="9" t="s">
        <v>72</v>
      </c>
      <c r="D64" s="9" t="s">
        <v>16</v>
      </c>
      <c r="E64" s="10" t="s">
        <v>14</v>
      </c>
      <c r="F64" s="6">
        <v>0.0</v>
      </c>
      <c r="G64" s="7">
        <v>0.0</v>
      </c>
      <c r="H64" s="12">
        <v>0.0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1" t="s">
        <v>7</v>
      </c>
      <c r="B65" s="11" t="s">
        <v>13</v>
      </c>
      <c r="C65" s="9" t="s">
        <v>73</v>
      </c>
      <c r="D65" s="9" t="s">
        <v>32</v>
      </c>
      <c r="E65" s="9" t="s">
        <v>74</v>
      </c>
      <c r="F65" s="6">
        <v>300000.0</v>
      </c>
      <c r="G65" s="7">
        <v>0.0</v>
      </c>
      <c r="H65" s="12" t="str">
        <f t="array" ref="H65">XLOOKUP(C:C,Sheet3!A:A,Sheet3!B:B)</f>
        <v>#N/A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1" t="s">
        <v>12</v>
      </c>
      <c r="B66" s="11" t="s">
        <v>13</v>
      </c>
      <c r="C66" s="9" t="s">
        <v>73</v>
      </c>
      <c r="D66" s="9" t="s">
        <v>32</v>
      </c>
      <c r="E66" s="10" t="s">
        <v>14</v>
      </c>
      <c r="F66" s="6">
        <v>500000.0</v>
      </c>
      <c r="G66" s="7">
        <v>0.0</v>
      </c>
      <c r="H66" s="12" t="str">
        <f t="array" ref="H66">XLOOKUP(C:C,Sheet3!A:A,Sheet3!B:B)</f>
        <v>#N/A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1" t="s">
        <v>12</v>
      </c>
      <c r="B67" s="11" t="s">
        <v>13</v>
      </c>
      <c r="C67" s="9" t="s">
        <v>75</v>
      </c>
      <c r="D67" s="9" t="s">
        <v>16</v>
      </c>
      <c r="E67" s="10" t="s">
        <v>14</v>
      </c>
      <c r="F67" s="6">
        <v>0.0</v>
      </c>
      <c r="G67" s="7">
        <v>0.0</v>
      </c>
      <c r="H67" s="12" t="str">
        <f t="array" ref="H67">XLOOKUP(C:C,Sheet3!A:A,Sheet3!B:B)</f>
        <v>#N/A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1" t="s">
        <v>12</v>
      </c>
      <c r="B68" s="11" t="s">
        <v>8</v>
      </c>
      <c r="C68" s="9" t="s">
        <v>76</v>
      </c>
      <c r="D68" s="9" t="s">
        <v>48</v>
      </c>
      <c r="E68" s="9" t="s">
        <v>49</v>
      </c>
      <c r="F68" s="6">
        <v>1807430.0</v>
      </c>
      <c r="G68" s="7">
        <v>222060.0</v>
      </c>
      <c r="H68" s="12" t="str">
        <f t="array" ref="H68">XLOOKUP(C:C,Sheet3!A:A,Sheet3!B:B)</f>
        <v>#N/A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1" t="s">
        <v>12</v>
      </c>
      <c r="B69" s="11" t="s">
        <v>13</v>
      </c>
      <c r="C69" s="9" t="s">
        <v>77</v>
      </c>
      <c r="D69" s="9" t="s">
        <v>16</v>
      </c>
      <c r="E69" s="10" t="s">
        <v>14</v>
      </c>
      <c r="F69" s="6">
        <v>2005000.0</v>
      </c>
      <c r="G69" s="7">
        <v>0.0</v>
      </c>
      <c r="H69" s="12">
        <v>0.0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1" t="s">
        <v>12</v>
      </c>
      <c r="B70" s="11" t="s">
        <v>13</v>
      </c>
      <c r="C70" s="9" t="s">
        <v>78</v>
      </c>
      <c r="D70" s="9" t="s">
        <v>16</v>
      </c>
      <c r="E70" s="10" t="s">
        <v>14</v>
      </c>
      <c r="F70" s="6">
        <v>200000.0</v>
      </c>
      <c r="G70" s="7">
        <v>137521.34</v>
      </c>
      <c r="H70" s="12" t="str">
        <f t="array" ref="H70">XLOOKUP(C:C,Sheet3!A:A,Sheet3!B:B)</f>
        <v>#N/A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1" t="s">
        <v>7</v>
      </c>
      <c r="B71" s="11" t="s">
        <v>13</v>
      </c>
      <c r="C71" s="9" t="s">
        <v>79</v>
      </c>
      <c r="D71" s="9" t="s">
        <v>32</v>
      </c>
      <c r="E71" s="9" t="s">
        <v>80</v>
      </c>
      <c r="F71" s="6">
        <v>300000.0</v>
      </c>
      <c r="G71" s="7">
        <v>0.0</v>
      </c>
      <c r="H71" s="12" t="str">
        <f t="array" ref="H71">XLOOKUP(C:C,Sheet3!A:A,Sheet3!B:B)</f>
        <v>#N/A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1" t="s">
        <v>12</v>
      </c>
      <c r="B72" s="11" t="s">
        <v>13</v>
      </c>
      <c r="C72" s="9" t="s">
        <v>79</v>
      </c>
      <c r="D72" s="9" t="s">
        <v>32</v>
      </c>
      <c r="E72" s="9" t="s">
        <v>80</v>
      </c>
      <c r="F72" s="6">
        <v>1605000.0</v>
      </c>
      <c r="G72" s="7">
        <v>575510.0</v>
      </c>
      <c r="H72" s="12" t="str">
        <f t="array" ref="H72">XLOOKUP(C:C,Sheet3!A:A,Sheet3!B:B)</f>
        <v>#N/A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1" t="s">
        <v>12</v>
      </c>
      <c r="B73" s="11" t="s">
        <v>13</v>
      </c>
      <c r="C73" s="9" t="s">
        <v>81</v>
      </c>
      <c r="D73" s="9" t="s">
        <v>16</v>
      </c>
      <c r="E73" s="10" t="s">
        <v>14</v>
      </c>
      <c r="F73" s="6">
        <v>0.0</v>
      </c>
      <c r="G73" s="7">
        <v>0.0</v>
      </c>
      <c r="H73" s="12">
        <v>0.0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1" t="s">
        <v>12</v>
      </c>
      <c r="B74" s="11" t="s">
        <v>13</v>
      </c>
      <c r="C74" s="9" t="s">
        <v>82</v>
      </c>
      <c r="D74" s="9" t="s">
        <v>83</v>
      </c>
      <c r="E74" s="9" t="s">
        <v>84</v>
      </c>
      <c r="F74" s="6">
        <v>2.0E7</v>
      </c>
      <c r="G74" s="7">
        <v>1.9419409E7</v>
      </c>
      <c r="H74" s="12" t="str">
        <f t="array" ref="H74">XLOOKUP(C:C,Sheet3!A:A,Sheet3!B:B)</f>
        <v>#N/A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1" t="s">
        <v>12</v>
      </c>
      <c r="B75" s="11" t="s">
        <v>13</v>
      </c>
      <c r="C75" s="9" t="s">
        <v>85</v>
      </c>
      <c r="D75" s="9" t="s">
        <v>83</v>
      </c>
      <c r="E75" s="10" t="s">
        <v>14</v>
      </c>
      <c r="F75" s="6">
        <v>0.0</v>
      </c>
      <c r="G75" s="7">
        <v>0.0</v>
      </c>
      <c r="H75" s="12">
        <v>0.0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1" t="s">
        <v>12</v>
      </c>
      <c r="B76" s="11" t="s">
        <v>13</v>
      </c>
      <c r="C76" s="9" t="s">
        <v>86</v>
      </c>
      <c r="D76" s="9" t="s">
        <v>16</v>
      </c>
      <c r="E76" s="10" t="s">
        <v>14</v>
      </c>
      <c r="F76" s="6">
        <v>0.0</v>
      </c>
      <c r="G76" s="7">
        <v>0.0</v>
      </c>
      <c r="H76" s="12">
        <v>0.0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1" t="s">
        <v>7</v>
      </c>
      <c r="B77" s="11" t="s">
        <v>13</v>
      </c>
      <c r="C77" s="9" t="s">
        <v>87</v>
      </c>
      <c r="D77" s="9" t="s">
        <v>88</v>
      </c>
      <c r="E77" s="9" t="s">
        <v>89</v>
      </c>
      <c r="F77" s="6">
        <v>1.0E7</v>
      </c>
      <c r="G77" s="7">
        <v>0.0</v>
      </c>
      <c r="H77" s="12" t="str">
        <f t="array" ref="H77">XLOOKUP(C:C,Sheet3!A:A,Sheet3!B:B)</f>
        <v>#N/A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1" t="s">
        <v>12</v>
      </c>
      <c r="B78" s="11" t="s">
        <v>13</v>
      </c>
      <c r="C78" s="9" t="s">
        <v>87</v>
      </c>
      <c r="D78" s="9" t="s">
        <v>88</v>
      </c>
      <c r="E78" s="9" t="s">
        <v>55</v>
      </c>
      <c r="F78" s="6">
        <v>1.0E7</v>
      </c>
      <c r="G78" s="7">
        <v>1632087.0</v>
      </c>
      <c r="H78" s="12" t="str">
        <f t="array" ref="H78">XLOOKUP(C:C,Sheet3!A:A,Sheet3!B:B)</f>
        <v>#N/A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1" t="s">
        <v>12</v>
      </c>
      <c r="B79" s="11" t="s">
        <v>13</v>
      </c>
      <c r="C79" s="9" t="s">
        <v>90</v>
      </c>
      <c r="D79" s="9" t="s">
        <v>88</v>
      </c>
      <c r="E79" s="10" t="s">
        <v>14</v>
      </c>
      <c r="F79" s="6">
        <v>0.0</v>
      </c>
      <c r="G79" s="7">
        <v>0.0</v>
      </c>
      <c r="H79" s="12" t="str">
        <f t="array" ref="H79">XLOOKUP(C:C,Sheet3!A:A,Sheet3!B:B)</f>
        <v>#N/A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1" t="s">
        <v>12</v>
      </c>
      <c r="B80" s="11" t="s">
        <v>13</v>
      </c>
      <c r="C80" s="9" t="s">
        <v>91</v>
      </c>
      <c r="D80" s="9" t="s">
        <v>16</v>
      </c>
      <c r="E80" s="10" t="s">
        <v>14</v>
      </c>
      <c r="F80" s="6">
        <v>182000.0</v>
      </c>
      <c r="G80" s="7">
        <v>0.0</v>
      </c>
      <c r="H80" s="12">
        <v>0.0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1" t="s">
        <v>12</v>
      </c>
      <c r="B81" s="11" t="s">
        <v>13</v>
      </c>
      <c r="C81" s="9" t="s">
        <v>92</v>
      </c>
      <c r="D81" s="9" t="s">
        <v>16</v>
      </c>
      <c r="E81" s="10" t="s">
        <v>14</v>
      </c>
      <c r="F81" s="6">
        <v>0.0</v>
      </c>
      <c r="G81" s="7">
        <v>0.0</v>
      </c>
      <c r="H81" s="12">
        <v>0.0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1" t="s">
        <v>12</v>
      </c>
      <c r="B82" s="11" t="s">
        <v>13</v>
      </c>
      <c r="C82" s="9" t="s">
        <v>93</v>
      </c>
      <c r="D82" s="9" t="s">
        <v>16</v>
      </c>
      <c r="E82" s="10" t="s">
        <v>14</v>
      </c>
      <c r="F82" s="6">
        <v>0.0</v>
      </c>
      <c r="G82" s="7">
        <v>0.0</v>
      </c>
      <c r="H82" s="12">
        <v>0.0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1" t="s">
        <v>12</v>
      </c>
      <c r="B83" s="11" t="s">
        <v>13</v>
      </c>
      <c r="C83" s="9" t="s">
        <v>94</v>
      </c>
      <c r="D83" s="9" t="s">
        <v>16</v>
      </c>
      <c r="E83" s="10" t="s">
        <v>14</v>
      </c>
      <c r="F83" s="6">
        <v>0.0</v>
      </c>
      <c r="G83" s="7">
        <v>0.0</v>
      </c>
      <c r="H83" s="12">
        <v>0.0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1" t="s">
        <v>7</v>
      </c>
      <c r="B84" s="11" t="s">
        <v>13</v>
      </c>
      <c r="C84" s="9" t="s">
        <v>95</v>
      </c>
      <c r="D84" s="9" t="s">
        <v>26</v>
      </c>
      <c r="E84" s="9" t="s">
        <v>96</v>
      </c>
      <c r="F84" s="6">
        <v>0.0</v>
      </c>
      <c r="G84" s="7">
        <v>0.0</v>
      </c>
      <c r="H84" s="12" t="str">
        <f t="array" ref="H84">XLOOKUP(C:C,Sheet3!A:A,Sheet3!B:B)</f>
        <v>#N/A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1" t="s">
        <v>12</v>
      </c>
      <c r="B85" s="11" t="s">
        <v>13</v>
      </c>
      <c r="C85" s="9" t="s">
        <v>95</v>
      </c>
      <c r="D85" s="9" t="s">
        <v>26</v>
      </c>
      <c r="E85" s="9" t="s">
        <v>96</v>
      </c>
      <c r="F85" s="6">
        <v>1600000.0</v>
      </c>
      <c r="G85" s="7">
        <v>0.0</v>
      </c>
      <c r="H85" s="12" t="str">
        <f t="array" ref="H85">XLOOKUP(C:C,Sheet3!A:A,Sheet3!B:B)</f>
        <v>#N/A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1" t="s">
        <v>7</v>
      </c>
      <c r="B86" s="11" t="s">
        <v>13</v>
      </c>
      <c r="C86" s="9" t="s">
        <v>97</v>
      </c>
      <c r="D86" s="9" t="s">
        <v>37</v>
      </c>
      <c r="E86" s="9" t="s">
        <v>98</v>
      </c>
      <c r="F86" s="6">
        <v>5100000.0</v>
      </c>
      <c r="G86" s="7">
        <v>0.0</v>
      </c>
      <c r="H86" s="12" t="str">
        <f t="array" ref="H86">XLOOKUP(C:C,Sheet3!A:A,Sheet3!B:B)</f>
        <v>#N/A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1" t="s">
        <v>12</v>
      </c>
      <c r="B87" s="11" t="s">
        <v>13</v>
      </c>
      <c r="C87" s="9" t="s">
        <v>97</v>
      </c>
      <c r="D87" s="9" t="s">
        <v>37</v>
      </c>
      <c r="E87" s="9" t="s">
        <v>74</v>
      </c>
      <c r="F87" s="6">
        <v>5100000.0</v>
      </c>
      <c r="G87" s="7">
        <v>1874108.0</v>
      </c>
      <c r="H87" s="12" t="str">
        <f t="array" ref="H87">XLOOKUP(C:C,Sheet3!A:A,Sheet3!B:B)</f>
        <v>#N/A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1" t="s">
        <v>12</v>
      </c>
      <c r="B88" s="11" t="s">
        <v>8</v>
      </c>
      <c r="C88" s="9" t="s">
        <v>97</v>
      </c>
      <c r="D88" s="9" t="s">
        <v>37</v>
      </c>
      <c r="E88" s="9" t="s">
        <v>74</v>
      </c>
      <c r="F88" s="6">
        <v>0.0</v>
      </c>
      <c r="G88" s="7">
        <v>0.0</v>
      </c>
      <c r="H88" s="12" t="str">
        <f t="array" ref="H88">XLOOKUP(C:C,Sheet3!A:A,Sheet3!B:B)</f>
        <v>#N/A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1" t="s">
        <v>12</v>
      </c>
      <c r="B89" s="11" t="s">
        <v>13</v>
      </c>
      <c r="C89" s="9" t="s">
        <v>99</v>
      </c>
      <c r="D89" s="9" t="s">
        <v>37</v>
      </c>
      <c r="E89" s="10" t="s">
        <v>14</v>
      </c>
      <c r="F89" s="6">
        <v>0.0</v>
      </c>
      <c r="G89" s="7">
        <v>0.0</v>
      </c>
      <c r="H89" s="12">
        <v>0.0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1" t="s">
        <v>12</v>
      </c>
      <c r="B90" s="11" t="s">
        <v>13</v>
      </c>
      <c r="C90" s="9" t="s">
        <v>100</v>
      </c>
      <c r="D90" s="9" t="s">
        <v>16</v>
      </c>
      <c r="E90" s="10" t="s">
        <v>14</v>
      </c>
      <c r="F90" s="6">
        <v>200000.0</v>
      </c>
      <c r="G90" s="7">
        <v>578630.0</v>
      </c>
      <c r="H90" s="12" t="str">
        <f t="array" ref="H90">XLOOKUP(C:C,Sheet3!A:A,Sheet3!B:B)</f>
        <v>#N/A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1" t="s">
        <v>12</v>
      </c>
      <c r="B91" s="11" t="s">
        <v>13</v>
      </c>
      <c r="C91" s="9" t="s">
        <v>101</v>
      </c>
      <c r="D91" s="9" t="s">
        <v>16</v>
      </c>
      <c r="E91" s="10" t="s">
        <v>14</v>
      </c>
      <c r="F91" s="6">
        <v>0.0</v>
      </c>
      <c r="G91" s="7">
        <v>0.0</v>
      </c>
      <c r="H91" s="12">
        <v>0.0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1" t="s">
        <v>12</v>
      </c>
      <c r="B92" s="11" t="s">
        <v>13</v>
      </c>
      <c r="C92" s="9" t="s">
        <v>102</v>
      </c>
      <c r="D92" s="9" t="s">
        <v>16</v>
      </c>
      <c r="E92" s="10" t="s">
        <v>14</v>
      </c>
      <c r="F92" s="6">
        <v>0.0</v>
      </c>
      <c r="G92" s="7">
        <v>0.0</v>
      </c>
      <c r="H92" s="12">
        <v>0.0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1" t="s">
        <v>7</v>
      </c>
      <c r="B93" s="11" t="s">
        <v>13</v>
      </c>
      <c r="C93" s="9" t="s">
        <v>103</v>
      </c>
      <c r="D93" s="9" t="s">
        <v>37</v>
      </c>
      <c r="E93" s="9" t="s">
        <v>104</v>
      </c>
      <c r="F93" s="6">
        <v>1.0E7</v>
      </c>
      <c r="G93" s="7">
        <v>0.0</v>
      </c>
      <c r="H93" s="12">
        <v>0.0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1" t="s">
        <v>12</v>
      </c>
      <c r="B94" s="11" t="s">
        <v>13</v>
      </c>
      <c r="C94" s="9" t="s">
        <v>103</v>
      </c>
      <c r="D94" s="9" t="s">
        <v>37</v>
      </c>
      <c r="E94" s="9" t="s">
        <v>96</v>
      </c>
      <c r="F94" s="6">
        <v>1.0E7</v>
      </c>
      <c r="G94" s="7">
        <v>5769248.0</v>
      </c>
      <c r="H94" s="12">
        <v>0.0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1" t="s">
        <v>12</v>
      </c>
      <c r="B95" s="11" t="s">
        <v>13</v>
      </c>
      <c r="C95" s="9" t="s">
        <v>105</v>
      </c>
      <c r="D95" s="9" t="s">
        <v>37</v>
      </c>
      <c r="E95" s="9" t="s">
        <v>49</v>
      </c>
      <c r="F95" s="6">
        <v>0.0</v>
      </c>
      <c r="G95" s="7">
        <v>2003380.0</v>
      </c>
      <c r="H95" s="12">
        <v>0.0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1" t="s">
        <v>7</v>
      </c>
      <c r="B96" s="11" t="s">
        <v>8</v>
      </c>
      <c r="C96" s="9" t="s">
        <v>106</v>
      </c>
      <c r="D96" s="9" t="s">
        <v>37</v>
      </c>
      <c r="E96" s="9" t="s">
        <v>96</v>
      </c>
      <c r="F96" s="6">
        <v>950000.0</v>
      </c>
      <c r="G96" s="7">
        <v>0.0</v>
      </c>
      <c r="H96" s="12" t="str">
        <f t="array" ref="H96">XLOOKUP(C:C,Sheet3!A:A,Sheet3!B:B)</f>
        <v>#N/A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1" t="s">
        <v>12</v>
      </c>
      <c r="B97" s="11" t="s">
        <v>8</v>
      </c>
      <c r="C97" s="9" t="s">
        <v>106</v>
      </c>
      <c r="D97" s="9" t="s">
        <v>37</v>
      </c>
      <c r="E97" s="9" t="s">
        <v>96</v>
      </c>
      <c r="F97" s="6">
        <v>3085000.0</v>
      </c>
      <c r="G97" s="7">
        <v>2124078.9</v>
      </c>
      <c r="H97" s="12" t="str">
        <f t="array" ref="H97">XLOOKUP(C:C,Sheet3!A:A,Sheet3!B:B)</f>
        <v>#N/A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1" t="s">
        <v>12</v>
      </c>
      <c r="B98" s="11" t="s">
        <v>13</v>
      </c>
      <c r="C98" s="9" t="s">
        <v>107</v>
      </c>
      <c r="D98" s="9" t="s">
        <v>16</v>
      </c>
      <c r="E98" s="10" t="s">
        <v>14</v>
      </c>
      <c r="F98" s="6">
        <v>63000.0</v>
      </c>
      <c r="G98" s="7">
        <v>0.0</v>
      </c>
      <c r="H98" s="12">
        <v>0.0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1" t="s">
        <v>12</v>
      </c>
      <c r="B99" s="11" t="s">
        <v>13</v>
      </c>
      <c r="C99" s="9" t="s">
        <v>108</v>
      </c>
      <c r="D99" s="9" t="s">
        <v>32</v>
      </c>
      <c r="E99" s="9" t="s">
        <v>17</v>
      </c>
      <c r="F99" s="6">
        <v>700000.0</v>
      </c>
      <c r="G99" s="7">
        <v>0.0</v>
      </c>
      <c r="H99" s="12" t="str">
        <f t="array" ref="H99">XLOOKUP(C:C,Sheet3!A:A,Sheet3!B:B)</f>
        <v>#N/A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1" t="s">
        <v>12</v>
      </c>
      <c r="B100" s="11" t="s">
        <v>13</v>
      </c>
      <c r="C100" s="9" t="s">
        <v>109</v>
      </c>
      <c r="D100" s="9" t="s">
        <v>16</v>
      </c>
      <c r="E100" s="9" t="s">
        <v>33</v>
      </c>
      <c r="F100" s="6">
        <v>0.0</v>
      </c>
      <c r="G100" s="7">
        <v>0.0</v>
      </c>
      <c r="H100" s="12" t="str">
        <f t="array" ref="H100">XLOOKUP(C:C,Sheet3!A:A,Sheet3!B:B)</f>
        <v>#N/A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1" t="s">
        <v>12</v>
      </c>
      <c r="B101" s="11" t="s">
        <v>13</v>
      </c>
      <c r="C101" s="9" t="s">
        <v>110</v>
      </c>
      <c r="D101" s="9" t="s">
        <v>16</v>
      </c>
      <c r="E101" s="10" t="s">
        <v>14</v>
      </c>
      <c r="F101" s="6">
        <v>0.0</v>
      </c>
      <c r="G101" s="7">
        <v>0.0</v>
      </c>
      <c r="H101" s="12">
        <v>0.0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1" t="s">
        <v>12</v>
      </c>
      <c r="B102" s="11" t="s">
        <v>13</v>
      </c>
      <c r="C102" s="9" t="s">
        <v>111</v>
      </c>
      <c r="D102" s="9" t="s">
        <v>16</v>
      </c>
      <c r="E102" s="9" t="s">
        <v>17</v>
      </c>
      <c r="F102" s="6">
        <v>0.0</v>
      </c>
      <c r="G102" s="7">
        <v>0.0</v>
      </c>
      <c r="H102" s="12">
        <v>0.0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1" t="s">
        <v>12</v>
      </c>
      <c r="B103" s="11" t="s">
        <v>13</v>
      </c>
      <c r="C103" s="9" t="s">
        <v>112</v>
      </c>
      <c r="D103" s="9" t="s">
        <v>16</v>
      </c>
      <c r="E103" s="10" t="s">
        <v>14</v>
      </c>
      <c r="F103" s="6">
        <v>0.0</v>
      </c>
      <c r="G103" s="7">
        <v>0.0</v>
      </c>
      <c r="H103" s="12">
        <v>0.0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1" t="s">
        <v>12</v>
      </c>
      <c r="B104" s="11" t="s">
        <v>13</v>
      </c>
      <c r="C104" s="9" t="s">
        <v>113</v>
      </c>
      <c r="D104" s="9" t="s">
        <v>16</v>
      </c>
      <c r="E104" s="10" t="s">
        <v>14</v>
      </c>
      <c r="F104" s="6">
        <v>0.0</v>
      </c>
      <c r="G104" s="7">
        <v>0.0</v>
      </c>
      <c r="H104" s="12">
        <v>0.0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1" t="s">
        <v>12</v>
      </c>
      <c r="B105" s="11" t="s">
        <v>13</v>
      </c>
      <c r="C105" s="9" t="s">
        <v>114</v>
      </c>
      <c r="D105" s="9" t="s">
        <v>115</v>
      </c>
      <c r="E105" s="9" t="s">
        <v>11</v>
      </c>
      <c r="F105" s="6">
        <v>1000000.0</v>
      </c>
      <c r="G105" s="7">
        <v>0.0</v>
      </c>
      <c r="H105" s="12" t="str">
        <f t="array" ref="H105">XLOOKUP(C:C,Sheet3!A:A,Sheet3!B:B)</f>
        <v>#N/A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1" t="s">
        <v>12</v>
      </c>
      <c r="B106" s="11" t="s">
        <v>13</v>
      </c>
      <c r="C106" s="9" t="s">
        <v>116</v>
      </c>
      <c r="D106" s="9" t="s">
        <v>16</v>
      </c>
      <c r="E106" s="10" t="s">
        <v>14</v>
      </c>
      <c r="F106" s="6">
        <v>0.0</v>
      </c>
      <c r="G106" s="7">
        <v>0.0</v>
      </c>
      <c r="H106" s="12">
        <v>0.0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1" t="s">
        <v>12</v>
      </c>
      <c r="B107" s="11" t="s">
        <v>13</v>
      </c>
      <c r="C107" s="9" t="s">
        <v>117</v>
      </c>
      <c r="D107" s="9" t="s">
        <v>16</v>
      </c>
      <c r="E107" s="10" t="s">
        <v>14</v>
      </c>
      <c r="F107" s="6">
        <v>0.0</v>
      </c>
      <c r="G107" s="7">
        <v>0.0</v>
      </c>
      <c r="H107" s="12">
        <v>0.0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1" t="s">
        <v>12</v>
      </c>
      <c r="B108" s="11" t="s">
        <v>8</v>
      </c>
      <c r="C108" s="9" t="s">
        <v>118</v>
      </c>
      <c r="D108" s="9" t="s">
        <v>16</v>
      </c>
      <c r="E108" s="9" t="s">
        <v>33</v>
      </c>
      <c r="F108" s="6">
        <v>21000.0</v>
      </c>
      <c r="G108" s="7">
        <v>0.0</v>
      </c>
      <c r="H108" s="12">
        <v>0.0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1" t="s">
        <v>7</v>
      </c>
      <c r="B109" s="11" t="s">
        <v>13</v>
      </c>
      <c r="C109" s="9" t="s">
        <v>119</v>
      </c>
      <c r="D109" s="9" t="s">
        <v>16</v>
      </c>
      <c r="E109" s="9" t="s">
        <v>55</v>
      </c>
      <c r="F109" s="6">
        <v>100000.0</v>
      </c>
      <c r="G109" s="7">
        <v>0.0</v>
      </c>
      <c r="H109" s="12" t="str">
        <f t="array" ref="H109">XLOOKUP(C:C,Sheet3!A:A,Sheet3!B:B)</f>
        <v>#N/A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1" t="s">
        <v>12</v>
      </c>
      <c r="B110" s="11" t="s">
        <v>13</v>
      </c>
      <c r="C110" s="9" t="s">
        <v>119</v>
      </c>
      <c r="D110" s="9" t="s">
        <v>16</v>
      </c>
      <c r="E110" s="9" t="s">
        <v>55</v>
      </c>
      <c r="F110" s="6">
        <v>500000.0</v>
      </c>
      <c r="G110" s="7">
        <v>50506.0</v>
      </c>
      <c r="H110" s="12" t="str">
        <f t="array" ref="H110">XLOOKUP(C:C,Sheet3!A:A,Sheet3!B:B)</f>
        <v>#N/A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1" t="s">
        <v>7</v>
      </c>
      <c r="B111" s="11" t="s">
        <v>13</v>
      </c>
      <c r="C111" s="9" t="s">
        <v>120</v>
      </c>
      <c r="D111" s="9" t="s">
        <v>16</v>
      </c>
      <c r="E111" s="10" t="s">
        <v>14</v>
      </c>
      <c r="F111" s="6">
        <v>0.0</v>
      </c>
      <c r="G111" s="7">
        <v>0.0</v>
      </c>
      <c r="H111" s="12">
        <v>0.0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1" t="s">
        <v>12</v>
      </c>
      <c r="B112" s="11" t="s">
        <v>13</v>
      </c>
      <c r="C112" s="9" t="s">
        <v>120</v>
      </c>
      <c r="D112" s="9" t="s">
        <v>16</v>
      </c>
      <c r="E112" s="10" t="s">
        <v>14</v>
      </c>
      <c r="F112" s="6">
        <v>0.0</v>
      </c>
      <c r="G112" s="7">
        <v>0.0</v>
      </c>
      <c r="H112" s="12">
        <v>0.0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1" t="s">
        <v>12</v>
      </c>
      <c r="B113" s="11" t="s">
        <v>13</v>
      </c>
      <c r="C113" s="9" t="s">
        <v>121</v>
      </c>
      <c r="D113" s="9" t="s">
        <v>16</v>
      </c>
      <c r="E113" s="10" t="s">
        <v>14</v>
      </c>
      <c r="F113" s="6">
        <v>0.0</v>
      </c>
      <c r="G113" s="7">
        <v>0.0</v>
      </c>
      <c r="H113" s="12">
        <v>0.0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1" t="s">
        <v>7</v>
      </c>
      <c r="B114" s="11" t="s">
        <v>13</v>
      </c>
      <c r="C114" s="9" t="s">
        <v>122</v>
      </c>
      <c r="D114" s="9" t="s">
        <v>16</v>
      </c>
      <c r="E114" s="10" t="s">
        <v>14</v>
      </c>
      <c r="F114" s="6">
        <v>0.0</v>
      </c>
      <c r="G114" s="7">
        <v>0.0</v>
      </c>
      <c r="H114" s="12">
        <v>0.0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1" t="s">
        <v>12</v>
      </c>
      <c r="B115" s="11" t="s">
        <v>13</v>
      </c>
      <c r="C115" s="9" t="s">
        <v>123</v>
      </c>
      <c r="D115" s="9" t="s">
        <v>16</v>
      </c>
      <c r="E115" s="9" t="s">
        <v>11</v>
      </c>
      <c r="F115" s="6">
        <v>0.0</v>
      </c>
      <c r="G115" s="7">
        <v>819037.0</v>
      </c>
      <c r="H115" s="12" t="str">
        <f t="array" ref="H115">XLOOKUP(C:C,Sheet3!A:A,Sheet3!B:B)</f>
        <v>#N/A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1" t="s">
        <v>12</v>
      </c>
      <c r="B116" s="11" t="s">
        <v>13</v>
      </c>
      <c r="C116" s="9" t="s">
        <v>124</v>
      </c>
      <c r="D116" s="9" t="s">
        <v>115</v>
      </c>
      <c r="E116" s="9" t="s">
        <v>125</v>
      </c>
      <c r="F116" s="6">
        <v>1.0</v>
      </c>
      <c r="G116" s="7">
        <v>0.0</v>
      </c>
      <c r="H116" s="12" t="str">
        <f t="array" ref="H116">XLOOKUP(C:C,Sheet3!A:A,Sheet3!B:B)</f>
        <v>#N/A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1" t="s">
        <v>12</v>
      </c>
      <c r="B117" s="11" t="s">
        <v>13</v>
      </c>
      <c r="C117" s="9" t="s">
        <v>126</v>
      </c>
      <c r="D117" s="9" t="s">
        <v>16</v>
      </c>
      <c r="E117" s="10" t="s">
        <v>14</v>
      </c>
      <c r="F117" s="6">
        <v>0.0</v>
      </c>
      <c r="G117" s="7">
        <v>210011.0</v>
      </c>
      <c r="H117" s="12" t="str">
        <f t="array" ref="H117">XLOOKUP(C:C,Sheet3!A:A,Sheet3!B:B)</f>
        <v>#N/A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1" t="s">
        <v>7</v>
      </c>
      <c r="B118" s="11" t="s">
        <v>13</v>
      </c>
      <c r="C118" s="9" t="s">
        <v>127</v>
      </c>
      <c r="D118" s="9" t="s">
        <v>32</v>
      </c>
      <c r="E118" s="9" t="s">
        <v>23</v>
      </c>
      <c r="F118" s="6">
        <v>2000000.0</v>
      </c>
      <c r="G118" s="7">
        <v>0.0</v>
      </c>
      <c r="H118" s="12" t="str">
        <f t="array" ref="H118">XLOOKUP(C:C,Sheet3!A:A,Sheet3!B:B)</f>
        <v>#N/A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1" t="s">
        <v>12</v>
      </c>
      <c r="B119" s="11" t="s">
        <v>13</v>
      </c>
      <c r="C119" s="9" t="s">
        <v>127</v>
      </c>
      <c r="D119" s="9" t="s">
        <v>32</v>
      </c>
      <c r="E119" s="9" t="s">
        <v>17</v>
      </c>
      <c r="F119" s="6">
        <v>2000000.0</v>
      </c>
      <c r="G119" s="7">
        <v>807839.0</v>
      </c>
      <c r="H119" s="12" t="str">
        <f t="array" ref="H119">XLOOKUP(C:C,Sheet3!A:A,Sheet3!B:B)</f>
        <v>#N/A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1" t="s">
        <v>12</v>
      </c>
      <c r="B120" s="11" t="s">
        <v>13</v>
      </c>
      <c r="C120" s="9" t="s">
        <v>128</v>
      </c>
      <c r="D120" s="9" t="s">
        <v>48</v>
      </c>
      <c r="E120" s="10" t="s">
        <v>14</v>
      </c>
      <c r="F120" s="6">
        <v>1860000.0</v>
      </c>
      <c r="G120" s="7">
        <v>-4620.0</v>
      </c>
      <c r="H120" s="12" t="str">
        <f t="array" ref="H120">XLOOKUP(C:C,Sheet3!A:A,Sheet3!B:B)</f>
        <v>#N/A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1" t="s">
        <v>12</v>
      </c>
      <c r="B121" s="11" t="s">
        <v>8</v>
      </c>
      <c r="C121" s="9" t="s">
        <v>128</v>
      </c>
      <c r="D121" s="9" t="s">
        <v>48</v>
      </c>
      <c r="E121" s="10" t="s">
        <v>14</v>
      </c>
      <c r="F121" s="6">
        <v>4720.0</v>
      </c>
      <c r="G121" s="7">
        <v>3458.0</v>
      </c>
      <c r="H121" s="12" t="str">
        <f t="array" ref="H121">XLOOKUP(C:C,Sheet3!A:A,Sheet3!B:B)</f>
        <v>#N/A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1" t="s">
        <v>7</v>
      </c>
      <c r="B122" s="11" t="s">
        <v>8</v>
      </c>
      <c r="C122" s="9" t="s">
        <v>129</v>
      </c>
      <c r="D122" s="9" t="s">
        <v>48</v>
      </c>
      <c r="E122" s="9" t="s">
        <v>11</v>
      </c>
      <c r="F122" s="6">
        <v>0.0</v>
      </c>
      <c r="G122" s="7">
        <v>0.0</v>
      </c>
      <c r="H122" s="12" t="str">
        <f t="array" ref="H122">XLOOKUP(C:C,Sheet3!A:A,Sheet3!B:B)</f>
        <v>#N/A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1" t="s">
        <v>7</v>
      </c>
      <c r="B123" s="11" t="s">
        <v>13</v>
      </c>
      <c r="C123" s="9" t="s">
        <v>129</v>
      </c>
      <c r="D123" s="9" t="s">
        <v>48</v>
      </c>
      <c r="E123" s="9" t="s">
        <v>11</v>
      </c>
      <c r="F123" s="6">
        <v>0.0</v>
      </c>
      <c r="G123" s="7">
        <v>0.0</v>
      </c>
      <c r="H123" s="12" t="str">
        <f t="array" ref="H123">XLOOKUP(C:C,Sheet3!A:A,Sheet3!B:B)</f>
        <v>#N/A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1" t="s">
        <v>12</v>
      </c>
      <c r="B124" s="11" t="s">
        <v>8</v>
      </c>
      <c r="C124" s="9" t="s">
        <v>129</v>
      </c>
      <c r="D124" s="9" t="s">
        <v>48</v>
      </c>
      <c r="E124" s="9" t="s">
        <v>11</v>
      </c>
      <c r="F124" s="6">
        <v>3000000.0</v>
      </c>
      <c r="G124" s="7">
        <v>521496.6</v>
      </c>
      <c r="H124" s="12" t="str">
        <f t="array" ref="H124">XLOOKUP(C:C,Sheet3!A:A,Sheet3!B:B)</f>
        <v>#N/A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1" t="s">
        <v>12</v>
      </c>
      <c r="B125" s="11" t="s">
        <v>13</v>
      </c>
      <c r="C125" s="9" t="s">
        <v>130</v>
      </c>
      <c r="D125" s="9" t="s">
        <v>16</v>
      </c>
      <c r="E125" s="10" t="s">
        <v>14</v>
      </c>
      <c r="F125" s="6">
        <v>0.0</v>
      </c>
      <c r="G125" s="7">
        <v>0.0</v>
      </c>
      <c r="H125" s="12">
        <v>0.0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1" t="s">
        <v>12</v>
      </c>
      <c r="B126" s="11" t="s">
        <v>13</v>
      </c>
      <c r="C126" s="9" t="s">
        <v>131</v>
      </c>
      <c r="D126" s="9" t="s">
        <v>16</v>
      </c>
      <c r="E126" s="9" t="s">
        <v>49</v>
      </c>
      <c r="F126" s="6">
        <v>0.0</v>
      </c>
      <c r="G126" s="7">
        <v>0.0</v>
      </c>
      <c r="H126" s="12">
        <v>0.0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1" t="s">
        <v>12</v>
      </c>
      <c r="B127" s="11" t="s">
        <v>8</v>
      </c>
      <c r="C127" s="9" t="s">
        <v>132</v>
      </c>
      <c r="D127" s="9" t="s">
        <v>16</v>
      </c>
      <c r="E127" s="10" t="s">
        <v>14</v>
      </c>
      <c r="F127" s="6">
        <v>0.0</v>
      </c>
      <c r="G127" s="7">
        <v>0.0</v>
      </c>
      <c r="H127" s="12">
        <v>0.0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1" t="s">
        <v>7</v>
      </c>
      <c r="B128" s="11" t="s">
        <v>8</v>
      </c>
      <c r="C128" s="9" t="s">
        <v>133</v>
      </c>
      <c r="D128" s="9" t="s">
        <v>16</v>
      </c>
      <c r="E128" s="10" t="s">
        <v>14</v>
      </c>
      <c r="F128" s="6">
        <v>0.0</v>
      </c>
      <c r="G128" s="7">
        <v>0.0</v>
      </c>
      <c r="H128" s="12" t="str">
        <f t="array" ref="H128">XLOOKUP(C:C,Sheet3!A:A,Sheet3!B:B)</f>
        <v>#N/A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1" t="s">
        <v>12</v>
      </c>
      <c r="B129" s="11" t="s">
        <v>13</v>
      </c>
      <c r="C129" s="9" t="s">
        <v>133</v>
      </c>
      <c r="D129" s="9" t="s">
        <v>16</v>
      </c>
      <c r="E129" s="10" t="s">
        <v>14</v>
      </c>
      <c r="F129" s="6">
        <v>0.0</v>
      </c>
      <c r="G129" s="7">
        <v>0.0</v>
      </c>
      <c r="H129" s="12" t="str">
        <f t="array" ref="H129">XLOOKUP(C:C,Sheet3!A:A,Sheet3!B:B)</f>
        <v>#N/A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1" t="s">
        <v>12</v>
      </c>
      <c r="B130" s="11" t="s">
        <v>8</v>
      </c>
      <c r="C130" s="9" t="s">
        <v>133</v>
      </c>
      <c r="D130" s="9" t="s">
        <v>16</v>
      </c>
      <c r="E130" s="10" t="s">
        <v>14</v>
      </c>
      <c r="F130" s="6">
        <v>0.0</v>
      </c>
      <c r="G130" s="7">
        <v>0.0</v>
      </c>
      <c r="H130" s="12" t="str">
        <f t="array" ref="H130">XLOOKUP(C:C,Sheet3!A:A,Sheet3!B:B)</f>
        <v>#N/A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1" t="s">
        <v>12</v>
      </c>
      <c r="B131" s="11" t="s">
        <v>13</v>
      </c>
      <c r="C131" s="9" t="s">
        <v>134</v>
      </c>
      <c r="D131" s="9" t="s">
        <v>16</v>
      </c>
      <c r="E131" s="10" t="s">
        <v>14</v>
      </c>
      <c r="F131" s="6">
        <v>0.0</v>
      </c>
      <c r="G131" s="7">
        <v>0.0</v>
      </c>
      <c r="H131" s="12" t="str">
        <f t="array" ref="H131">XLOOKUP(C:C,Sheet3!A:A,Sheet3!B:B)</f>
        <v>#N/A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1" t="s">
        <v>12</v>
      </c>
      <c r="B132" s="11" t="s">
        <v>13</v>
      </c>
      <c r="C132" s="9" t="s">
        <v>135</v>
      </c>
      <c r="D132" s="9" t="s">
        <v>16</v>
      </c>
      <c r="E132" s="10" t="s">
        <v>14</v>
      </c>
      <c r="F132" s="6">
        <v>0.0</v>
      </c>
      <c r="G132" s="7">
        <v>-50000.0</v>
      </c>
      <c r="H132" s="12">
        <v>0.0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1" t="s">
        <v>12</v>
      </c>
      <c r="B133" s="11" t="s">
        <v>8</v>
      </c>
      <c r="C133" s="9" t="s">
        <v>135</v>
      </c>
      <c r="D133" s="9" t="s">
        <v>16</v>
      </c>
      <c r="E133" s="10" t="s">
        <v>14</v>
      </c>
      <c r="F133" s="6">
        <v>0.0</v>
      </c>
      <c r="G133" s="7">
        <v>0.0</v>
      </c>
      <c r="H133" s="12">
        <v>0.0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1" t="s">
        <v>7</v>
      </c>
      <c r="B134" s="11" t="s">
        <v>13</v>
      </c>
      <c r="C134" s="9" t="s">
        <v>136</v>
      </c>
      <c r="D134" s="9" t="s">
        <v>16</v>
      </c>
      <c r="E134" s="10" t="s">
        <v>14</v>
      </c>
      <c r="F134" s="6">
        <v>0.0</v>
      </c>
      <c r="G134" s="7">
        <v>0.0</v>
      </c>
      <c r="H134" s="12" t="str">
        <f t="array" ref="H134">XLOOKUP(C:C,Sheet3!A:A,Sheet3!B:B)</f>
        <v>#N/A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1" t="s">
        <v>12</v>
      </c>
      <c r="B135" s="11" t="s">
        <v>13</v>
      </c>
      <c r="C135" s="9" t="s">
        <v>136</v>
      </c>
      <c r="D135" s="9" t="s">
        <v>16</v>
      </c>
      <c r="E135" s="9" t="s">
        <v>49</v>
      </c>
      <c r="F135" s="6">
        <v>1375000.0</v>
      </c>
      <c r="G135" s="7">
        <v>1416880.0</v>
      </c>
      <c r="H135" s="12" t="str">
        <f t="array" ref="H135">XLOOKUP(C:C,Sheet3!A:A,Sheet3!B:B)</f>
        <v>#N/A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1" t="s">
        <v>12</v>
      </c>
      <c r="B136" s="11" t="s">
        <v>13</v>
      </c>
      <c r="C136" s="9" t="s">
        <v>137</v>
      </c>
      <c r="D136" s="9" t="s">
        <v>16</v>
      </c>
      <c r="E136" s="10" t="s">
        <v>14</v>
      </c>
      <c r="F136" s="6">
        <v>0.0</v>
      </c>
      <c r="G136" s="7">
        <v>0.0</v>
      </c>
      <c r="H136" s="12">
        <v>0.0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1" t="s">
        <v>12</v>
      </c>
      <c r="B137" s="11" t="s">
        <v>13</v>
      </c>
      <c r="C137" s="9" t="s">
        <v>138</v>
      </c>
      <c r="D137" s="9" t="s">
        <v>16</v>
      </c>
      <c r="E137" s="10" t="s">
        <v>14</v>
      </c>
      <c r="F137" s="6">
        <v>0.0</v>
      </c>
      <c r="G137" s="7">
        <v>0.0</v>
      </c>
      <c r="H137" s="12">
        <v>0.0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1" t="s">
        <v>12</v>
      </c>
      <c r="B138" s="11" t="s">
        <v>13</v>
      </c>
      <c r="C138" s="9" t="s">
        <v>139</v>
      </c>
      <c r="D138" s="9" t="s">
        <v>16</v>
      </c>
      <c r="E138" s="10" t="s">
        <v>14</v>
      </c>
      <c r="F138" s="6">
        <v>0.0</v>
      </c>
      <c r="G138" s="7">
        <v>0.0</v>
      </c>
      <c r="H138" s="12">
        <v>0.0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1" t="s">
        <v>7</v>
      </c>
      <c r="B139" s="11" t="s">
        <v>13</v>
      </c>
      <c r="C139" s="9" t="s">
        <v>140</v>
      </c>
      <c r="D139" s="9" t="s">
        <v>32</v>
      </c>
      <c r="E139" s="9" t="s">
        <v>17</v>
      </c>
      <c r="F139" s="6">
        <v>1000000.0</v>
      </c>
      <c r="G139" s="7">
        <v>0.0</v>
      </c>
      <c r="H139" s="12" t="str">
        <f t="array" ref="H139">XLOOKUP(C:C,Sheet3!A:A,Sheet3!B:B)</f>
        <v>#N/A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1" t="s">
        <v>12</v>
      </c>
      <c r="B140" s="11" t="s">
        <v>13</v>
      </c>
      <c r="C140" s="9" t="s">
        <v>140</v>
      </c>
      <c r="D140" s="9" t="s">
        <v>32</v>
      </c>
      <c r="E140" s="9" t="s">
        <v>17</v>
      </c>
      <c r="F140" s="6">
        <v>2750000.0</v>
      </c>
      <c r="G140" s="7">
        <v>1360615.0</v>
      </c>
      <c r="H140" s="12" t="str">
        <f t="array" ref="H140">XLOOKUP(C:C,Sheet3!A:A,Sheet3!B:B)</f>
        <v>#N/A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1" t="s">
        <v>12</v>
      </c>
      <c r="B141" s="11" t="s">
        <v>13</v>
      </c>
      <c r="C141" s="9" t="s">
        <v>141</v>
      </c>
      <c r="D141" s="9" t="s">
        <v>32</v>
      </c>
      <c r="E141" s="9" t="s">
        <v>49</v>
      </c>
      <c r="F141" s="6">
        <v>0.0</v>
      </c>
      <c r="G141" s="7">
        <v>-201000.0</v>
      </c>
      <c r="H141" s="12" t="str">
        <f t="array" ref="H141">XLOOKUP(C:C,Sheet3!A:A,Sheet3!B:B)</f>
        <v>#N/A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1" t="s">
        <v>12</v>
      </c>
      <c r="B142" s="11" t="s">
        <v>13</v>
      </c>
      <c r="C142" s="9" t="s">
        <v>142</v>
      </c>
      <c r="D142" s="9" t="s">
        <v>32</v>
      </c>
      <c r="E142" s="9" t="s">
        <v>49</v>
      </c>
      <c r="F142" s="6">
        <v>1750000.0</v>
      </c>
      <c r="G142" s="7">
        <v>111584.0</v>
      </c>
      <c r="H142" s="12" t="str">
        <f t="array" ref="H142">XLOOKUP(C:C,Sheet3!A:A,Sheet3!B:B)</f>
        <v>#N/A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1" t="s">
        <v>7</v>
      </c>
      <c r="B143" s="11" t="s">
        <v>13</v>
      </c>
      <c r="C143" s="9" t="s">
        <v>143</v>
      </c>
      <c r="D143" s="9" t="s">
        <v>32</v>
      </c>
      <c r="E143" s="9" t="s">
        <v>144</v>
      </c>
      <c r="F143" s="6">
        <v>1750000.0</v>
      </c>
      <c r="G143" s="7">
        <v>0.0</v>
      </c>
      <c r="H143" s="12" t="str">
        <f t="array" ref="H143">XLOOKUP(C:C,Sheet3!A:A,Sheet3!B:B)</f>
        <v>#N/A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1" t="s">
        <v>7</v>
      </c>
      <c r="B144" s="11" t="s">
        <v>13</v>
      </c>
      <c r="C144" s="9" t="s">
        <v>145</v>
      </c>
      <c r="D144" s="9" t="s">
        <v>26</v>
      </c>
      <c r="E144" s="9" t="s">
        <v>17</v>
      </c>
      <c r="F144" s="6">
        <v>0.0</v>
      </c>
      <c r="G144" s="7">
        <v>0.0</v>
      </c>
      <c r="H144" s="12" t="str">
        <f t="array" ref="H144">XLOOKUP(C:C,Sheet3!A:A,Sheet3!B:B)</f>
        <v>#N/A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1" t="s">
        <v>12</v>
      </c>
      <c r="B145" s="11" t="s">
        <v>13</v>
      </c>
      <c r="C145" s="9" t="s">
        <v>145</v>
      </c>
      <c r="D145" s="9" t="s">
        <v>26</v>
      </c>
      <c r="E145" s="9" t="s">
        <v>17</v>
      </c>
      <c r="F145" s="6">
        <v>1000000.0</v>
      </c>
      <c r="G145" s="7">
        <v>63012.0</v>
      </c>
      <c r="H145" s="12" t="str">
        <f t="array" ref="H145">XLOOKUP(C:C,Sheet3!A:A,Sheet3!B:B)</f>
        <v>#N/A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1" t="s">
        <v>12</v>
      </c>
      <c r="B146" s="11" t="s">
        <v>13</v>
      </c>
      <c r="C146" s="9" t="s">
        <v>146</v>
      </c>
      <c r="D146" s="9" t="s">
        <v>26</v>
      </c>
      <c r="E146" s="10" t="s">
        <v>14</v>
      </c>
      <c r="F146" s="6">
        <v>0.0</v>
      </c>
      <c r="G146" s="7">
        <v>0.0</v>
      </c>
      <c r="H146" s="12">
        <v>0.0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1" t="s">
        <v>12</v>
      </c>
      <c r="B147" s="11" t="s">
        <v>13</v>
      </c>
      <c r="C147" s="9" t="s">
        <v>147</v>
      </c>
      <c r="D147" s="9" t="s">
        <v>16</v>
      </c>
      <c r="E147" s="10" t="s">
        <v>14</v>
      </c>
      <c r="F147" s="6">
        <v>0.0</v>
      </c>
      <c r="G147" s="7">
        <v>0.0</v>
      </c>
      <c r="H147" s="12">
        <v>0.0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1" t="s">
        <v>12</v>
      </c>
      <c r="B148" s="11" t="s">
        <v>13</v>
      </c>
      <c r="C148" s="9" t="s">
        <v>148</v>
      </c>
      <c r="D148" s="9" t="s">
        <v>16</v>
      </c>
      <c r="E148" s="10" t="s">
        <v>14</v>
      </c>
      <c r="F148" s="6">
        <v>0.0</v>
      </c>
      <c r="G148" s="7">
        <v>0.0</v>
      </c>
      <c r="H148" s="12">
        <v>0.0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1" t="s">
        <v>12</v>
      </c>
      <c r="B149" s="11" t="s">
        <v>13</v>
      </c>
      <c r="C149" s="9" t="s">
        <v>149</v>
      </c>
      <c r="D149" s="9" t="s">
        <v>16</v>
      </c>
      <c r="E149" s="10" t="s">
        <v>14</v>
      </c>
      <c r="F149" s="6">
        <v>0.0</v>
      </c>
      <c r="G149" s="7">
        <v>0.0</v>
      </c>
      <c r="H149" s="12">
        <v>0.0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1" t="s">
        <v>12</v>
      </c>
      <c r="B150" s="11" t="s">
        <v>13</v>
      </c>
      <c r="C150" s="9" t="s">
        <v>150</v>
      </c>
      <c r="D150" s="9" t="s">
        <v>16</v>
      </c>
      <c r="E150" s="10" t="s">
        <v>14</v>
      </c>
      <c r="F150" s="6">
        <v>0.0</v>
      </c>
      <c r="G150" s="7">
        <v>0.0</v>
      </c>
      <c r="H150" s="12">
        <v>0.0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1" t="s">
        <v>7</v>
      </c>
      <c r="B151" s="11" t="s">
        <v>13</v>
      </c>
      <c r="C151" s="9" t="s">
        <v>151</v>
      </c>
      <c r="D151" s="9" t="s">
        <v>16</v>
      </c>
      <c r="E151" s="10" t="s">
        <v>14</v>
      </c>
      <c r="F151" s="6">
        <v>0.0</v>
      </c>
      <c r="G151" s="7">
        <v>0.0</v>
      </c>
      <c r="H151" s="12" t="str">
        <f t="array" ref="H151">XLOOKUP(C:C,Sheet3!A:A,Sheet3!B:B)</f>
        <v>#N/A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1" t="s">
        <v>12</v>
      </c>
      <c r="B152" s="11" t="s">
        <v>13</v>
      </c>
      <c r="C152" s="9" t="s">
        <v>151</v>
      </c>
      <c r="D152" s="9" t="s">
        <v>16</v>
      </c>
      <c r="E152" s="10" t="s">
        <v>14</v>
      </c>
      <c r="F152" s="6">
        <v>3500000.0</v>
      </c>
      <c r="G152" s="7">
        <v>0.0</v>
      </c>
      <c r="H152" s="12" t="str">
        <f t="array" ref="H152">XLOOKUP(C:C,Sheet3!A:A,Sheet3!B:B)</f>
        <v>#N/A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1" t="s">
        <v>12</v>
      </c>
      <c r="B153" s="11" t="s">
        <v>13</v>
      </c>
      <c r="C153" s="9" t="s">
        <v>152</v>
      </c>
      <c r="D153" s="9" t="s">
        <v>16</v>
      </c>
      <c r="E153" s="10" t="s">
        <v>14</v>
      </c>
      <c r="F153" s="6">
        <v>0.0</v>
      </c>
      <c r="G153" s="7">
        <v>0.0</v>
      </c>
      <c r="H153" s="12">
        <v>0.0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1" t="s">
        <v>7</v>
      </c>
      <c r="B154" s="11" t="s">
        <v>13</v>
      </c>
      <c r="C154" s="9" t="s">
        <v>153</v>
      </c>
      <c r="D154" s="9" t="s">
        <v>32</v>
      </c>
      <c r="E154" s="9" t="s">
        <v>144</v>
      </c>
      <c r="F154" s="6">
        <v>3500000.0</v>
      </c>
      <c r="G154" s="7">
        <v>0.0</v>
      </c>
      <c r="H154" s="12" t="str">
        <f t="array" ref="H154">XLOOKUP(C:C,Sheet3!A:A,Sheet3!B:B)</f>
        <v>#N/A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1" t="s">
        <v>12</v>
      </c>
      <c r="B155" s="11" t="s">
        <v>13</v>
      </c>
      <c r="C155" s="9" t="s">
        <v>153</v>
      </c>
      <c r="D155" s="9" t="s">
        <v>32</v>
      </c>
      <c r="E155" s="10" t="s">
        <v>14</v>
      </c>
      <c r="F155" s="6">
        <v>2400000.0</v>
      </c>
      <c r="G155" s="7">
        <v>1726.0</v>
      </c>
      <c r="H155" s="12" t="str">
        <f t="array" ref="H155">XLOOKUP(C:C,Sheet3!A:A,Sheet3!B:B)</f>
        <v>#N/A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1" t="s">
        <v>7</v>
      </c>
      <c r="B156" s="11" t="s">
        <v>13</v>
      </c>
      <c r="C156" s="9" t="s">
        <v>154</v>
      </c>
      <c r="D156" s="9" t="s">
        <v>48</v>
      </c>
      <c r="E156" s="9" t="s">
        <v>23</v>
      </c>
      <c r="F156" s="6">
        <v>4635000.0</v>
      </c>
      <c r="G156" s="7">
        <v>0.0</v>
      </c>
      <c r="H156" s="12" t="str">
        <f t="array" ref="H156">XLOOKUP(C:C,Sheet3!A:A,Sheet3!B:B)</f>
        <v>#N/A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1" t="s">
        <v>12</v>
      </c>
      <c r="B157" s="11" t="s">
        <v>13</v>
      </c>
      <c r="C157" s="9" t="s">
        <v>154</v>
      </c>
      <c r="D157" s="9" t="s">
        <v>48</v>
      </c>
      <c r="E157" s="9" t="s">
        <v>17</v>
      </c>
      <c r="F157" s="6">
        <v>4635000.0</v>
      </c>
      <c r="G157" s="7">
        <v>3360204.0</v>
      </c>
      <c r="H157" s="12" t="str">
        <f t="array" ref="H157">XLOOKUP(C:C,Sheet3!A:A,Sheet3!B:B)</f>
        <v>#N/A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1" t="s">
        <v>12</v>
      </c>
      <c r="B158" s="11" t="s">
        <v>8</v>
      </c>
      <c r="C158" s="9" t="s">
        <v>154</v>
      </c>
      <c r="D158" s="9" t="s">
        <v>48</v>
      </c>
      <c r="E158" s="9" t="s">
        <v>17</v>
      </c>
      <c r="F158" s="6">
        <v>4278524.0</v>
      </c>
      <c r="G158" s="7">
        <v>85993.0</v>
      </c>
      <c r="H158" s="12" t="str">
        <f t="array" ref="H158">XLOOKUP(C:C,Sheet3!A:A,Sheet3!B:B)</f>
        <v>#N/A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1" t="s">
        <v>12</v>
      </c>
      <c r="B159" s="11" t="s">
        <v>13</v>
      </c>
      <c r="C159" s="9" t="s">
        <v>155</v>
      </c>
      <c r="D159" s="9" t="s">
        <v>48</v>
      </c>
      <c r="E159" s="10" t="s">
        <v>14</v>
      </c>
      <c r="F159" s="6">
        <v>0.0</v>
      </c>
      <c r="G159" s="7">
        <v>1.216E7</v>
      </c>
      <c r="H159" s="12">
        <v>0.0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1" t="s">
        <v>12</v>
      </c>
      <c r="B160" s="11" t="s">
        <v>13</v>
      </c>
      <c r="C160" s="9" t="s">
        <v>156</v>
      </c>
      <c r="D160" s="9" t="s">
        <v>16</v>
      </c>
      <c r="E160" s="9" t="s">
        <v>33</v>
      </c>
      <c r="F160" s="6">
        <v>0.0</v>
      </c>
      <c r="G160" s="7">
        <v>0.0</v>
      </c>
      <c r="H160" s="12">
        <v>0.0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1" t="s">
        <v>7</v>
      </c>
      <c r="B161" s="11" t="s">
        <v>13</v>
      </c>
      <c r="C161" s="9" t="s">
        <v>157</v>
      </c>
      <c r="D161" s="9" t="s">
        <v>32</v>
      </c>
      <c r="E161" s="9" t="s">
        <v>23</v>
      </c>
      <c r="F161" s="6">
        <v>1500000.0</v>
      </c>
      <c r="G161" s="7">
        <v>0.0</v>
      </c>
      <c r="H161" s="12" t="str">
        <f t="array" ref="H161">XLOOKUP(C:C,Sheet3!A:A,Sheet3!B:B)</f>
        <v>#N/A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1" t="s">
        <v>12</v>
      </c>
      <c r="B162" s="11" t="s">
        <v>13</v>
      </c>
      <c r="C162" s="9" t="s">
        <v>157</v>
      </c>
      <c r="D162" s="9" t="s">
        <v>32</v>
      </c>
      <c r="E162" s="9" t="s">
        <v>17</v>
      </c>
      <c r="F162" s="6">
        <v>1500000.0</v>
      </c>
      <c r="G162" s="7">
        <v>0.0</v>
      </c>
      <c r="H162" s="12" t="str">
        <f t="array" ref="H162">XLOOKUP(C:C,Sheet3!A:A,Sheet3!B:B)</f>
        <v>#N/A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1" t="s">
        <v>12</v>
      </c>
      <c r="B163" s="11" t="s">
        <v>13</v>
      </c>
      <c r="C163" s="9" t="s">
        <v>158</v>
      </c>
      <c r="D163" s="9" t="s">
        <v>32</v>
      </c>
      <c r="E163" s="10" t="s">
        <v>14</v>
      </c>
      <c r="F163" s="6">
        <v>0.0</v>
      </c>
      <c r="G163" s="7">
        <v>0.0</v>
      </c>
      <c r="H163" s="12">
        <v>0.0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1" t="s">
        <v>7</v>
      </c>
      <c r="B164" s="11" t="s">
        <v>8</v>
      </c>
      <c r="C164" s="9" t="s">
        <v>159</v>
      </c>
      <c r="D164" s="9" t="s">
        <v>10</v>
      </c>
      <c r="E164" s="9" t="s">
        <v>17</v>
      </c>
      <c r="F164" s="6">
        <v>0.0</v>
      </c>
      <c r="G164" s="7">
        <v>0.0</v>
      </c>
      <c r="H164" s="12" t="str">
        <f t="array" ref="H164">XLOOKUP(C:C,Sheet3!A:A,Sheet3!B:B)</f>
        <v>#N/A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1" t="s">
        <v>12</v>
      </c>
      <c r="B165" s="11" t="s">
        <v>8</v>
      </c>
      <c r="C165" s="9" t="s">
        <v>159</v>
      </c>
      <c r="D165" s="9" t="s">
        <v>10</v>
      </c>
      <c r="E165" s="9" t="s">
        <v>49</v>
      </c>
      <c r="F165" s="6">
        <v>1300000.0</v>
      </c>
      <c r="G165" s="7">
        <v>465401.0</v>
      </c>
      <c r="H165" s="12" t="str">
        <f t="array" ref="H165">XLOOKUP(C:C,Sheet3!A:A,Sheet3!B:B)</f>
        <v>#N/A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1" t="s">
        <v>12</v>
      </c>
      <c r="B166" s="11" t="s">
        <v>13</v>
      </c>
      <c r="C166" s="9" t="s">
        <v>159</v>
      </c>
      <c r="D166" s="9" t="s">
        <v>10</v>
      </c>
      <c r="E166" s="10" t="s">
        <v>14</v>
      </c>
      <c r="F166" s="6">
        <v>1247000.0</v>
      </c>
      <c r="G166" s="7">
        <v>0.0</v>
      </c>
      <c r="H166" s="12" t="str">
        <f t="array" ref="H166">XLOOKUP(C:C,Sheet3!A:A,Sheet3!B:B)</f>
        <v>#N/A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1" t="s">
        <v>12</v>
      </c>
      <c r="B167" s="11" t="s">
        <v>13</v>
      </c>
      <c r="C167" s="9" t="s">
        <v>160</v>
      </c>
      <c r="D167" s="9" t="s">
        <v>10</v>
      </c>
      <c r="E167" s="10" t="s">
        <v>14</v>
      </c>
      <c r="F167" s="6">
        <v>0.0</v>
      </c>
      <c r="G167" s="7">
        <v>8850.0</v>
      </c>
      <c r="H167" s="12" t="str">
        <f t="array" ref="H167">XLOOKUP(C:C,Sheet3!A:A,Sheet3!B:B)</f>
        <v>#N/A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1" t="s">
        <v>7</v>
      </c>
      <c r="B168" s="11" t="s">
        <v>13</v>
      </c>
      <c r="C168" s="9" t="s">
        <v>161</v>
      </c>
      <c r="D168" s="9" t="s">
        <v>16</v>
      </c>
      <c r="E168" s="9" t="s">
        <v>23</v>
      </c>
      <c r="F168" s="6">
        <v>1000000.0</v>
      </c>
      <c r="G168" s="7">
        <v>0.0</v>
      </c>
      <c r="H168" s="12" t="str">
        <f t="array" ref="H168">XLOOKUP(C:C,Sheet3!A:A,Sheet3!B:B)</f>
        <v>#N/A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1" t="s">
        <v>12</v>
      </c>
      <c r="B169" s="11" t="s">
        <v>13</v>
      </c>
      <c r="C169" s="9" t="s">
        <v>161</v>
      </c>
      <c r="D169" s="9" t="s">
        <v>16</v>
      </c>
      <c r="E169" s="9" t="s">
        <v>17</v>
      </c>
      <c r="F169" s="6">
        <v>1000000.0</v>
      </c>
      <c r="G169" s="7">
        <v>224361.0</v>
      </c>
      <c r="H169" s="12" t="str">
        <f t="array" ref="H169">XLOOKUP(C:C,Sheet3!A:A,Sheet3!B:B)</f>
        <v>#N/A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1" t="s">
        <v>12</v>
      </c>
      <c r="B170" s="11" t="s">
        <v>13</v>
      </c>
      <c r="C170" s="9" t="s">
        <v>162</v>
      </c>
      <c r="D170" s="9" t="s">
        <v>16</v>
      </c>
      <c r="E170" s="10" t="s">
        <v>14</v>
      </c>
      <c r="F170" s="6">
        <v>0.0</v>
      </c>
      <c r="G170" s="7">
        <v>0.0</v>
      </c>
      <c r="H170" s="12">
        <v>0.0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1" t="s">
        <v>7</v>
      </c>
      <c r="B171" s="11" t="s">
        <v>13</v>
      </c>
      <c r="C171" s="9" t="s">
        <v>163</v>
      </c>
      <c r="D171" s="9" t="s">
        <v>48</v>
      </c>
      <c r="E171" s="9" t="s">
        <v>49</v>
      </c>
      <c r="F171" s="6">
        <v>3250000.0</v>
      </c>
      <c r="G171" s="7">
        <v>0.0</v>
      </c>
      <c r="H171" s="12" t="str">
        <f t="array" ref="H171">XLOOKUP(C:C,Sheet3!A:A,Sheet3!B:B)</f>
        <v>#N/A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1" t="s">
        <v>12</v>
      </c>
      <c r="B172" s="11" t="s">
        <v>13</v>
      </c>
      <c r="C172" s="9" t="s">
        <v>163</v>
      </c>
      <c r="D172" s="9" t="s">
        <v>48</v>
      </c>
      <c r="E172" s="9" t="s">
        <v>49</v>
      </c>
      <c r="F172" s="6">
        <v>2200000.0</v>
      </c>
      <c r="G172" s="7">
        <v>-26.0</v>
      </c>
      <c r="H172" s="12" t="str">
        <f t="array" ref="H172">XLOOKUP(C:C,Sheet3!A:A,Sheet3!B:B)</f>
        <v>#N/A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1" t="s">
        <v>12</v>
      </c>
      <c r="B173" s="11" t="s">
        <v>8</v>
      </c>
      <c r="C173" s="9" t="s">
        <v>163</v>
      </c>
      <c r="D173" s="9" t="s">
        <v>48</v>
      </c>
      <c r="E173" s="10" t="s">
        <v>14</v>
      </c>
      <c r="F173" s="6">
        <v>100000.0</v>
      </c>
      <c r="G173" s="7">
        <v>0.0</v>
      </c>
      <c r="H173" s="12" t="str">
        <f t="array" ref="H173">XLOOKUP(C:C,Sheet3!A:A,Sheet3!B:B)</f>
        <v>#N/A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1" t="s">
        <v>7</v>
      </c>
      <c r="B174" s="11" t="s">
        <v>13</v>
      </c>
      <c r="C174" s="9" t="s">
        <v>164</v>
      </c>
      <c r="D174" s="9" t="s">
        <v>48</v>
      </c>
      <c r="E174" s="9" t="s">
        <v>165</v>
      </c>
      <c r="F174" s="6">
        <v>4.0E7</v>
      </c>
      <c r="G174" s="7">
        <v>0.0</v>
      </c>
      <c r="H174" s="12" t="str">
        <f t="array" ref="H174">XLOOKUP(C:C,Sheet3!A:A,Sheet3!B:B)</f>
        <v>#N/A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1" t="s">
        <v>12</v>
      </c>
      <c r="B175" s="11" t="s">
        <v>13</v>
      </c>
      <c r="C175" s="9" t="s">
        <v>164</v>
      </c>
      <c r="D175" s="9" t="s">
        <v>48</v>
      </c>
      <c r="E175" s="9" t="s">
        <v>11</v>
      </c>
      <c r="F175" s="6">
        <v>4.0E7</v>
      </c>
      <c r="G175" s="7">
        <v>1.1016005E7</v>
      </c>
      <c r="H175" s="12" t="str">
        <f t="array" ref="H175">XLOOKUP(C:C,Sheet3!A:A,Sheet3!B:B)</f>
        <v>#N/A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1" t="s">
        <v>12</v>
      </c>
      <c r="B176" s="11" t="s">
        <v>8</v>
      </c>
      <c r="C176" s="9" t="s">
        <v>164</v>
      </c>
      <c r="D176" s="9" t="s">
        <v>48</v>
      </c>
      <c r="E176" s="9" t="s">
        <v>11</v>
      </c>
      <c r="F176" s="6">
        <v>2.4928322E7</v>
      </c>
      <c r="G176" s="7">
        <v>142072.0</v>
      </c>
      <c r="H176" s="12" t="str">
        <f t="array" ref="H176">XLOOKUP(C:C,Sheet3!A:A,Sheet3!B:B)</f>
        <v>#N/A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1" t="s">
        <v>12</v>
      </c>
      <c r="B177" s="11" t="s">
        <v>13</v>
      </c>
      <c r="C177" s="9" t="s">
        <v>166</v>
      </c>
      <c r="D177" s="9" t="s">
        <v>48</v>
      </c>
      <c r="E177" s="10" t="s">
        <v>14</v>
      </c>
      <c r="F177" s="6">
        <v>0.0</v>
      </c>
      <c r="G177" s="7">
        <v>1.9982111E7</v>
      </c>
      <c r="H177" s="12" t="str">
        <f t="array" ref="H177">XLOOKUP(C:C,Sheet3!A:A,Sheet3!B:B)</f>
        <v>#N/A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1" t="s">
        <v>12</v>
      </c>
      <c r="B178" s="11" t="s">
        <v>13</v>
      </c>
      <c r="C178" s="9" t="s">
        <v>167</v>
      </c>
      <c r="D178" s="9" t="s">
        <v>48</v>
      </c>
      <c r="E178" s="10" t="s">
        <v>14</v>
      </c>
      <c r="F178" s="6">
        <v>0.0</v>
      </c>
      <c r="G178" s="7">
        <v>7233169.0</v>
      </c>
      <c r="H178" s="12" t="str">
        <f t="array" ref="H178">XLOOKUP(C:C,Sheet3!A:A,Sheet3!B:B)</f>
        <v>#N/A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1" t="s">
        <v>12</v>
      </c>
      <c r="B179" s="11" t="s">
        <v>13</v>
      </c>
      <c r="C179" s="9" t="s">
        <v>168</v>
      </c>
      <c r="D179" s="9" t="s">
        <v>19</v>
      </c>
      <c r="E179" s="9" t="s">
        <v>49</v>
      </c>
      <c r="F179" s="6">
        <v>750000.0</v>
      </c>
      <c r="G179" s="7">
        <v>0.0</v>
      </c>
      <c r="H179" s="12" t="str">
        <f t="array" ref="H179">XLOOKUP(C:C,Sheet3!A:A,Sheet3!B:B)</f>
        <v>#N/A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1" t="s">
        <v>12</v>
      </c>
      <c r="B180" s="11" t="s">
        <v>13</v>
      </c>
      <c r="C180" s="9" t="s">
        <v>169</v>
      </c>
      <c r="D180" s="9" t="s">
        <v>16</v>
      </c>
      <c r="E180" s="9" t="s">
        <v>49</v>
      </c>
      <c r="F180" s="6">
        <v>200000.0</v>
      </c>
      <c r="G180" s="7">
        <v>0.0</v>
      </c>
      <c r="H180" s="12" t="str">
        <f t="array" ref="H180">XLOOKUP(C:C,Sheet3!A:A,Sheet3!B:B)</f>
        <v>#N/A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1" t="s">
        <v>7</v>
      </c>
      <c r="B181" s="11" t="s">
        <v>13</v>
      </c>
      <c r="C181" s="9" t="s">
        <v>170</v>
      </c>
      <c r="D181" s="9" t="s">
        <v>16</v>
      </c>
      <c r="E181" s="10" t="s">
        <v>14</v>
      </c>
      <c r="F181" s="6">
        <v>0.0</v>
      </c>
      <c r="G181" s="7">
        <v>0.0</v>
      </c>
      <c r="H181" s="12">
        <v>0.0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1" t="s">
        <v>12</v>
      </c>
      <c r="B182" s="11" t="s">
        <v>13</v>
      </c>
      <c r="C182" s="9" t="s">
        <v>170</v>
      </c>
      <c r="D182" s="9" t="s">
        <v>16</v>
      </c>
      <c r="E182" s="9" t="s">
        <v>49</v>
      </c>
      <c r="F182" s="6">
        <v>100000.0</v>
      </c>
      <c r="G182" s="7">
        <v>0.0</v>
      </c>
      <c r="H182" s="12">
        <v>0.0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1" t="s">
        <v>12</v>
      </c>
      <c r="B183" s="11" t="s">
        <v>13</v>
      </c>
      <c r="C183" s="9" t="s">
        <v>171</v>
      </c>
      <c r="D183" s="9" t="s">
        <v>16</v>
      </c>
      <c r="E183" s="10" t="s">
        <v>14</v>
      </c>
      <c r="F183" s="6">
        <v>0.0</v>
      </c>
      <c r="G183" s="7">
        <v>0.0</v>
      </c>
      <c r="H183" s="12">
        <v>0.0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1" t="s">
        <v>7</v>
      </c>
      <c r="B184" s="11" t="s">
        <v>13</v>
      </c>
      <c r="C184" s="9" t="s">
        <v>172</v>
      </c>
      <c r="D184" s="9" t="s">
        <v>83</v>
      </c>
      <c r="E184" s="9" t="s">
        <v>173</v>
      </c>
      <c r="F184" s="6">
        <v>8800000.0</v>
      </c>
      <c r="G184" s="7">
        <v>0.0</v>
      </c>
      <c r="H184" s="12" t="str">
        <f t="array" ref="H184">XLOOKUP(C:C,Sheet3!A:A,Sheet3!B:B)</f>
        <v>#N/A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1" t="s">
        <v>12</v>
      </c>
      <c r="B185" s="11" t="s">
        <v>13</v>
      </c>
      <c r="C185" s="9" t="s">
        <v>172</v>
      </c>
      <c r="D185" s="9" t="s">
        <v>83</v>
      </c>
      <c r="E185" s="9" t="s">
        <v>11</v>
      </c>
      <c r="F185" s="6">
        <v>1.01E7</v>
      </c>
      <c r="G185" s="7">
        <v>4325780.0</v>
      </c>
      <c r="H185" s="12" t="str">
        <f t="array" ref="H185">XLOOKUP(C:C,Sheet3!A:A,Sheet3!B:B)</f>
        <v>#N/A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1" t="s">
        <v>12</v>
      </c>
      <c r="B186" s="11" t="s">
        <v>13</v>
      </c>
      <c r="C186" s="9" t="s">
        <v>174</v>
      </c>
      <c r="D186" s="9" t="s">
        <v>83</v>
      </c>
      <c r="E186" s="10" t="s">
        <v>14</v>
      </c>
      <c r="F186" s="6">
        <v>0.0</v>
      </c>
      <c r="G186" s="7">
        <v>0.0</v>
      </c>
      <c r="H186" s="12" t="str">
        <f t="array" ref="H186">XLOOKUP(C:C,Sheet3!A:A,Sheet3!B:B)</f>
        <v>#N/A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1" t="s">
        <v>12</v>
      </c>
      <c r="B187" s="11" t="s">
        <v>13</v>
      </c>
      <c r="C187" s="9" t="s">
        <v>175</v>
      </c>
      <c r="D187" s="9" t="s">
        <v>16</v>
      </c>
      <c r="E187" s="10" t="s">
        <v>14</v>
      </c>
      <c r="F187" s="6">
        <v>0.0</v>
      </c>
      <c r="G187" s="7">
        <v>0.0</v>
      </c>
      <c r="H187" s="12">
        <v>0.0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1" t="s">
        <v>12</v>
      </c>
      <c r="B188" s="11" t="s">
        <v>13</v>
      </c>
      <c r="C188" s="9" t="s">
        <v>176</v>
      </c>
      <c r="D188" s="9" t="s">
        <v>16</v>
      </c>
      <c r="E188" s="10" t="s">
        <v>14</v>
      </c>
      <c r="F188" s="6">
        <v>14000.0</v>
      </c>
      <c r="G188" s="7">
        <v>0.0</v>
      </c>
      <c r="H188" s="12">
        <v>0.0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1" t="s">
        <v>12</v>
      </c>
      <c r="B189" s="11" t="s">
        <v>13</v>
      </c>
      <c r="C189" s="9" t="s">
        <v>177</v>
      </c>
      <c r="D189" s="9" t="s">
        <v>16</v>
      </c>
      <c r="E189" s="10" t="s">
        <v>14</v>
      </c>
      <c r="F189" s="6">
        <v>0.0</v>
      </c>
      <c r="G189" s="7">
        <v>0.0</v>
      </c>
      <c r="H189" s="12">
        <v>0.0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1" t="s">
        <v>12</v>
      </c>
      <c r="B190" s="11" t="s">
        <v>13</v>
      </c>
      <c r="C190" s="9" t="s">
        <v>178</v>
      </c>
      <c r="D190" s="9" t="s">
        <v>16</v>
      </c>
      <c r="E190" s="10" t="s">
        <v>14</v>
      </c>
      <c r="F190" s="6">
        <v>0.0</v>
      </c>
      <c r="G190" s="7">
        <v>0.0</v>
      </c>
      <c r="H190" s="12">
        <v>0.0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1" t="s">
        <v>12</v>
      </c>
      <c r="B191" s="11" t="s">
        <v>13</v>
      </c>
      <c r="C191" s="9" t="s">
        <v>179</v>
      </c>
      <c r="D191" s="9" t="s">
        <v>16</v>
      </c>
      <c r="E191" s="10" t="s">
        <v>14</v>
      </c>
      <c r="F191" s="6">
        <v>0.0</v>
      </c>
      <c r="G191" s="7">
        <v>0.0</v>
      </c>
      <c r="H191" s="12">
        <v>0.0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1" t="s">
        <v>12</v>
      </c>
      <c r="B192" s="11" t="s">
        <v>13</v>
      </c>
      <c r="C192" s="9" t="s">
        <v>180</v>
      </c>
      <c r="D192" s="9" t="s">
        <v>16</v>
      </c>
      <c r="E192" s="10" t="s">
        <v>14</v>
      </c>
      <c r="F192" s="6">
        <v>0.0</v>
      </c>
      <c r="G192" s="7">
        <v>0.0</v>
      </c>
      <c r="H192" s="12">
        <v>0.0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1" t="s">
        <v>12</v>
      </c>
      <c r="B193" s="11" t="s">
        <v>13</v>
      </c>
      <c r="C193" s="9" t="s">
        <v>181</v>
      </c>
      <c r="D193" s="9" t="s">
        <v>16</v>
      </c>
      <c r="E193" s="9" t="s">
        <v>11</v>
      </c>
      <c r="F193" s="6">
        <v>0.0</v>
      </c>
      <c r="G193" s="7">
        <v>0.0</v>
      </c>
      <c r="H193" s="12">
        <v>0.0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1" t="s">
        <v>12</v>
      </c>
      <c r="B194" s="11" t="s">
        <v>13</v>
      </c>
      <c r="C194" s="9" t="s">
        <v>182</v>
      </c>
      <c r="D194" s="9" t="s">
        <v>16</v>
      </c>
      <c r="E194" s="10" t="s">
        <v>14</v>
      </c>
      <c r="F194" s="6">
        <v>0.0</v>
      </c>
      <c r="G194" s="7">
        <v>0.0</v>
      </c>
      <c r="H194" s="12">
        <v>0.0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1" t="s">
        <v>7</v>
      </c>
      <c r="B195" s="11" t="s">
        <v>13</v>
      </c>
      <c r="C195" s="9" t="s">
        <v>183</v>
      </c>
      <c r="D195" s="9" t="s">
        <v>88</v>
      </c>
      <c r="E195" s="9" t="s">
        <v>23</v>
      </c>
      <c r="F195" s="6">
        <v>2700000.0</v>
      </c>
      <c r="G195" s="7">
        <v>0.0</v>
      </c>
      <c r="H195" s="12" t="str">
        <f t="array" ref="H195">XLOOKUP(C:C,Sheet3!A:A,Sheet3!B:B)</f>
        <v>#N/A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1" t="s">
        <v>12</v>
      </c>
      <c r="B196" s="11" t="s">
        <v>13</v>
      </c>
      <c r="C196" s="9" t="s">
        <v>183</v>
      </c>
      <c r="D196" s="9" t="s">
        <v>88</v>
      </c>
      <c r="E196" s="9" t="s">
        <v>17</v>
      </c>
      <c r="F196" s="6">
        <v>2700000.0</v>
      </c>
      <c r="G196" s="7">
        <v>2361908.0</v>
      </c>
      <c r="H196" s="12" t="str">
        <f t="array" ref="H196">XLOOKUP(C:C,Sheet3!A:A,Sheet3!B:B)</f>
        <v>#N/A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1" t="s">
        <v>12</v>
      </c>
      <c r="B197" s="11" t="s">
        <v>13</v>
      </c>
      <c r="C197" s="9" t="s">
        <v>184</v>
      </c>
      <c r="D197" s="9" t="s">
        <v>16</v>
      </c>
      <c r="E197" s="10" t="s">
        <v>14</v>
      </c>
      <c r="F197" s="6">
        <v>0.0</v>
      </c>
      <c r="G197" s="7">
        <v>496000.0</v>
      </c>
      <c r="H197" s="12" t="str">
        <f t="array" ref="H197">XLOOKUP(C:C,Sheet3!A:A,Sheet3!B:B)</f>
        <v>#N/A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1" t="s">
        <v>7</v>
      </c>
      <c r="B198" s="11" t="s">
        <v>13</v>
      </c>
      <c r="C198" s="9" t="s">
        <v>185</v>
      </c>
      <c r="D198" s="9" t="s">
        <v>88</v>
      </c>
      <c r="E198" s="9" t="s">
        <v>49</v>
      </c>
      <c r="F198" s="6">
        <v>0.0</v>
      </c>
      <c r="G198" s="7">
        <v>0.0</v>
      </c>
      <c r="H198" s="12" t="str">
        <f t="array" ref="H198">XLOOKUP(C:C,Sheet3!A:A,Sheet3!B:B)</f>
        <v>#N/A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1" t="s">
        <v>12</v>
      </c>
      <c r="B199" s="11" t="s">
        <v>13</v>
      </c>
      <c r="C199" s="9" t="s">
        <v>185</v>
      </c>
      <c r="D199" s="9" t="s">
        <v>88</v>
      </c>
      <c r="E199" s="9" t="s">
        <v>49</v>
      </c>
      <c r="F199" s="6">
        <v>500000.0</v>
      </c>
      <c r="G199" s="7">
        <v>0.0</v>
      </c>
      <c r="H199" s="12" t="str">
        <f t="array" ref="H199">XLOOKUP(C:C,Sheet3!A:A,Sheet3!B:B)</f>
        <v>#N/A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1" t="s">
        <v>7</v>
      </c>
      <c r="B200" s="11" t="s">
        <v>8</v>
      </c>
      <c r="C200" s="9" t="s">
        <v>186</v>
      </c>
      <c r="D200" s="9" t="s">
        <v>10</v>
      </c>
      <c r="E200" s="9" t="s">
        <v>187</v>
      </c>
      <c r="F200" s="6">
        <v>500000.0</v>
      </c>
      <c r="G200" s="7">
        <v>0.0</v>
      </c>
      <c r="H200" s="12" t="str">
        <f t="array" ref="H200">XLOOKUP(C:C,Sheet3!A:A,Sheet3!B:B)</f>
        <v>#N/A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1" t="s">
        <v>12</v>
      </c>
      <c r="B201" s="11" t="s">
        <v>13</v>
      </c>
      <c r="C201" s="9" t="s">
        <v>186</v>
      </c>
      <c r="D201" s="9" t="s">
        <v>10</v>
      </c>
      <c r="E201" s="10" t="s">
        <v>14</v>
      </c>
      <c r="F201" s="6">
        <v>1904000.0</v>
      </c>
      <c r="G201" s="7">
        <v>12.0</v>
      </c>
      <c r="H201" s="12" t="str">
        <f t="array" ref="H201">XLOOKUP(C:C,Sheet3!A:A,Sheet3!B:B)</f>
        <v>#N/A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1" t="s">
        <v>12</v>
      </c>
      <c r="B202" s="11" t="s">
        <v>8</v>
      </c>
      <c r="C202" s="9" t="s">
        <v>186</v>
      </c>
      <c r="D202" s="9" t="s">
        <v>10</v>
      </c>
      <c r="E202" s="9" t="s">
        <v>187</v>
      </c>
      <c r="F202" s="6">
        <v>500000.0</v>
      </c>
      <c r="G202" s="7">
        <v>138686.0</v>
      </c>
      <c r="H202" s="12" t="str">
        <f t="array" ref="H202">XLOOKUP(C:C,Sheet3!A:A,Sheet3!B:B)</f>
        <v>#N/A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1" t="s">
        <v>12</v>
      </c>
      <c r="B203" s="11" t="s">
        <v>13</v>
      </c>
      <c r="C203" s="9" t="s">
        <v>188</v>
      </c>
      <c r="D203" s="9" t="s">
        <v>16</v>
      </c>
      <c r="E203" s="10" t="s">
        <v>14</v>
      </c>
      <c r="F203" s="6">
        <v>0.0</v>
      </c>
      <c r="G203" s="7">
        <v>0.0</v>
      </c>
      <c r="H203" s="12">
        <v>0.0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1" t="s">
        <v>12</v>
      </c>
      <c r="B204" s="11" t="s">
        <v>13</v>
      </c>
      <c r="C204" s="9" t="s">
        <v>189</v>
      </c>
      <c r="D204" s="9" t="s">
        <v>32</v>
      </c>
      <c r="E204" s="9" t="s">
        <v>49</v>
      </c>
      <c r="F204" s="6">
        <v>1000000.0</v>
      </c>
      <c r="G204" s="7">
        <v>0.0</v>
      </c>
      <c r="H204" s="12" t="str">
        <f t="array" ref="H204">XLOOKUP(C:C,Sheet3!A:A,Sheet3!B:B)</f>
        <v>#N/A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1" t="s">
        <v>12</v>
      </c>
      <c r="B205" s="11" t="s">
        <v>13</v>
      </c>
      <c r="C205" s="9" t="s">
        <v>190</v>
      </c>
      <c r="D205" s="9" t="s">
        <v>16</v>
      </c>
      <c r="E205" s="10" t="s">
        <v>14</v>
      </c>
      <c r="F205" s="6">
        <v>0.0</v>
      </c>
      <c r="G205" s="7">
        <v>0.0</v>
      </c>
      <c r="H205" s="12">
        <v>0.0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1" t="s">
        <v>7</v>
      </c>
      <c r="B206" s="11" t="s">
        <v>13</v>
      </c>
      <c r="C206" s="9" t="s">
        <v>191</v>
      </c>
      <c r="D206" s="9" t="s">
        <v>32</v>
      </c>
      <c r="E206" s="9" t="s">
        <v>23</v>
      </c>
      <c r="F206" s="6">
        <v>330000.0</v>
      </c>
      <c r="G206" s="7">
        <v>0.0</v>
      </c>
      <c r="H206" s="12" t="str">
        <f t="array" ref="H206">XLOOKUP(C:C,Sheet3!A:A,Sheet3!B:B)</f>
        <v>#N/A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1" t="s">
        <v>12</v>
      </c>
      <c r="B207" s="11" t="s">
        <v>13</v>
      </c>
      <c r="C207" s="9" t="s">
        <v>191</v>
      </c>
      <c r="D207" s="9" t="s">
        <v>32</v>
      </c>
      <c r="E207" s="9" t="s">
        <v>17</v>
      </c>
      <c r="F207" s="6">
        <v>330000.0</v>
      </c>
      <c r="G207" s="7">
        <v>309964.0</v>
      </c>
      <c r="H207" s="12" t="str">
        <f t="array" ref="H207">XLOOKUP(C:C,Sheet3!A:A,Sheet3!B:B)</f>
        <v>#N/A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1" t="s">
        <v>12</v>
      </c>
      <c r="B208" s="11" t="s">
        <v>13</v>
      </c>
      <c r="C208" s="9" t="s">
        <v>192</v>
      </c>
      <c r="D208" s="9" t="s">
        <v>16</v>
      </c>
      <c r="E208" s="10" t="s">
        <v>14</v>
      </c>
      <c r="F208" s="6">
        <v>0.0</v>
      </c>
      <c r="G208" s="7">
        <v>264958.0</v>
      </c>
      <c r="H208" s="12" t="str">
        <f t="array" ref="H208">XLOOKUP(C:C,Sheet3!A:A,Sheet3!B:B)</f>
        <v>#N/A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1" t="s">
        <v>12</v>
      </c>
      <c r="B209" s="11" t="s">
        <v>13</v>
      </c>
      <c r="C209" s="9" t="s">
        <v>193</v>
      </c>
      <c r="D209" s="9" t="s">
        <v>16</v>
      </c>
      <c r="E209" s="10" t="s">
        <v>14</v>
      </c>
      <c r="F209" s="6">
        <v>0.0</v>
      </c>
      <c r="G209" s="7">
        <v>0.0</v>
      </c>
      <c r="H209" s="12">
        <v>0.0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1" t="s">
        <v>7</v>
      </c>
      <c r="B210" s="11" t="s">
        <v>13</v>
      </c>
      <c r="C210" s="9" t="s">
        <v>194</v>
      </c>
      <c r="D210" s="9" t="s">
        <v>32</v>
      </c>
      <c r="E210" s="9" t="s">
        <v>23</v>
      </c>
      <c r="F210" s="6">
        <v>1500000.0</v>
      </c>
      <c r="G210" s="7">
        <v>0.0</v>
      </c>
      <c r="H210" s="12" t="str">
        <f t="array" ref="H210">XLOOKUP(C:C,Sheet3!A:A,Sheet3!B:B)</f>
        <v>#N/A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1" t="s">
        <v>12</v>
      </c>
      <c r="B211" s="11" t="s">
        <v>13</v>
      </c>
      <c r="C211" s="9" t="s">
        <v>194</v>
      </c>
      <c r="D211" s="9" t="s">
        <v>32</v>
      </c>
      <c r="E211" s="9" t="s">
        <v>17</v>
      </c>
      <c r="F211" s="6">
        <v>1500000.0</v>
      </c>
      <c r="G211" s="7">
        <v>1455936.8</v>
      </c>
      <c r="H211" s="12" t="str">
        <f t="array" ref="H211">XLOOKUP(C:C,Sheet3!A:A,Sheet3!B:B)</f>
        <v>#N/A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1" t="s">
        <v>12</v>
      </c>
      <c r="B212" s="11" t="s">
        <v>13</v>
      </c>
      <c r="C212" s="9" t="s">
        <v>195</v>
      </c>
      <c r="D212" s="9" t="s">
        <v>16</v>
      </c>
      <c r="E212" s="10" t="s">
        <v>14</v>
      </c>
      <c r="F212" s="6">
        <v>0.0</v>
      </c>
      <c r="G212" s="7">
        <v>-9976.0</v>
      </c>
      <c r="H212" s="12">
        <v>0.0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1" t="s">
        <v>12</v>
      </c>
      <c r="B213" s="11" t="s">
        <v>13</v>
      </c>
      <c r="C213" s="9" t="s">
        <v>196</v>
      </c>
      <c r="D213" s="9" t="s">
        <v>16</v>
      </c>
      <c r="E213" s="10" t="s">
        <v>14</v>
      </c>
      <c r="F213" s="6">
        <v>0.0</v>
      </c>
      <c r="G213" s="7">
        <v>0.0</v>
      </c>
      <c r="H213" s="12">
        <v>0.0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1" t="s">
        <v>12</v>
      </c>
      <c r="B214" s="11" t="s">
        <v>13</v>
      </c>
      <c r="C214" s="9" t="s">
        <v>197</v>
      </c>
      <c r="D214" s="9" t="s">
        <v>16</v>
      </c>
      <c r="E214" s="10" t="s">
        <v>14</v>
      </c>
      <c r="F214" s="6">
        <v>0.0</v>
      </c>
      <c r="G214" s="7">
        <v>0.0</v>
      </c>
      <c r="H214" s="12">
        <v>0.0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1" t="s">
        <v>12</v>
      </c>
      <c r="B215" s="11" t="s">
        <v>13</v>
      </c>
      <c r="C215" s="9" t="s">
        <v>198</v>
      </c>
      <c r="D215" s="9" t="s">
        <v>16</v>
      </c>
      <c r="E215" s="10" t="s">
        <v>14</v>
      </c>
      <c r="F215" s="6">
        <v>0.0</v>
      </c>
      <c r="G215" s="7">
        <v>0.0</v>
      </c>
      <c r="H215" s="12">
        <v>0.0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1" t="s">
        <v>12</v>
      </c>
      <c r="B216" s="11" t="s">
        <v>8</v>
      </c>
      <c r="C216" s="9" t="s">
        <v>198</v>
      </c>
      <c r="D216" s="9" t="s">
        <v>16</v>
      </c>
      <c r="E216" s="10" t="s">
        <v>14</v>
      </c>
      <c r="F216" s="6">
        <v>0.0</v>
      </c>
      <c r="G216" s="7">
        <v>0.0</v>
      </c>
      <c r="H216" s="12">
        <v>0.0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1" t="s">
        <v>12</v>
      </c>
      <c r="B217" s="11" t="s">
        <v>13</v>
      </c>
      <c r="C217" s="9" t="s">
        <v>199</v>
      </c>
      <c r="D217" s="9" t="s">
        <v>16</v>
      </c>
      <c r="E217" s="9" t="s">
        <v>49</v>
      </c>
      <c r="F217" s="6">
        <v>0.0</v>
      </c>
      <c r="G217" s="7">
        <v>0.0</v>
      </c>
      <c r="H217" s="12" t="str">
        <f t="array" ref="H217">XLOOKUP(C:C,Sheet3!A:A,Sheet3!B:B)</f>
        <v>#N/A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1" t="s">
        <v>12</v>
      </c>
      <c r="B218" s="11" t="s">
        <v>13</v>
      </c>
      <c r="C218" s="9" t="s">
        <v>200</v>
      </c>
      <c r="D218" s="9" t="s">
        <v>16</v>
      </c>
      <c r="E218" s="10" t="s">
        <v>14</v>
      </c>
      <c r="F218" s="6">
        <v>0.0</v>
      </c>
      <c r="G218" s="7">
        <v>0.0</v>
      </c>
      <c r="H218" s="12">
        <v>0.0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1" t="s">
        <v>12</v>
      </c>
      <c r="B219" s="11" t="s">
        <v>13</v>
      </c>
      <c r="C219" s="9" t="s">
        <v>201</v>
      </c>
      <c r="D219" s="9" t="s">
        <v>16</v>
      </c>
      <c r="E219" s="10" t="s">
        <v>14</v>
      </c>
      <c r="F219" s="6">
        <v>0.0</v>
      </c>
      <c r="G219" s="7">
        <v>0.0</v>
      </c>
      <c r="H219" s="12" t="str">
        <f t="array" ref="H219">XLOOKUP(C:C,Sheet3!A:A,Sheet3!B:B)</f>
        <v>#N/A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1" t="s">
        <v>12</v>
      </c>
      <c r="B220" s="11" t="s">
        <v>13</v>
      </c>
      <c r="C220" s="9" t="s">
        <v>202</v>
      </c>
      <c r="D220" s="9" t="s">
        <v>16</v>
      </c>
      <c r="E220" s="10" t="s">
        <v>14</v>
      </c>
      <c r="F220" s="6">
        <v>0.0</v>
      </c>
      <c r="G220" s="7">
        <v>0.0</v>
      </c>
      <c r="H220" s="12">
        <v>0.0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1" t="s">
        <v>7</v>
      </c>
      <c r="B221" s="11" t="s">
        <v>13</v>
      </c>
      <c r="C221" s="9" t="s">
        <v>203</v>
      </c>
      <c r="D221" s="9" t="s">
        <v>88</v>
      </c>
      <c r="E221" s="9" t="s">
        <v>49</v>
      </c>
      <c r="F221" s="6">
        <v>0.0</v>
      </c>
      <c r="G221" s="7">
        <v>0.0</v>
      </c>
      <c r="H221" s="12" t="str">
        <f t="array" ref="H221">XLOOKUP(C:C,Sheet3!A:A,Sheet3!B:B)</f>
        <v>#N/A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1" t="s">
        <v>12</v>
      </c>
      <c r="B222" s="11" t="s">
        <v>13</v>
      </c>
      <c r="C222" s="9" t="s">
        <v>203</v>
      </c>
      <c r="D222" s="9" t="s">
        <v>88</v>
      </c>
      <c r="E222" s="10" t="s">
        <v>14</v>
      </c>
      <c r="F222" s="6">
        <v>0.0</v>
      </c>
      <c r="G222" s="7">
        <v>0.0</v>
      </c>
      <c r="H222" s="12" t="str">
        <f t="array" ref="H222">XLOOKUP(C:C,Sheet3!A:A,Sheet3!B:B)</f>
        <v>#N/A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1" t="s">
        <v>12</v>
      </c>
      <c r="B223" s="11" t="s">
        <v>13</v>
      </c>
      <c r="C223" s="9" t="s">
        <v>204</v>
      </c>
      <c r="D223" s="9" t="s">
        <v>16</v>
      </c>
      <c r="E223" s="9" t="s">
        <v>49</v>
      </c>
      <c r="F223" s="6">
        <v>178000.0</v>
      </c>
      <c r="G223" s="7">
        <v>0.0</v>
      </c>
      <c r="H223" s="12">
        <v>0.0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1" t="s">
        <v>12</v>
      </c>
      <c r="B224" s="11" t="s">
        <v>13</v>
      </c>
      <c r="C224" s="9" t="s">
        <v>205</v>
      </c>
      <c r="D224" s="9" t="s">
        <v>16</v>
      </c>
      <c r="E224" s="10" t="s">
        <v>14</v>
      </c>
      <c r="F224" s="6">
        <v>0.0</v>
      </c>
      <c r="G224" s="7">
        <v>0.0</v>
      </c>
      <c r="H224" s="12">
        <v>0.0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1" t="s">
        <v>12</v>
      </c>
      <c r="B225" s="11" t="s">
        <v>13</v>
      </c>
      <c r="C225" s="9" t="s">
        <v>206</v>
      </c>
      <c r="D225" s="9" t="s">
        <v>16</v>
      </c>
      <c r="E225" s="10" t="s">
        <v>14</v>
      </c>
      <c r="F225" s="6">
        <v>0.0</v>
      </c>
      <c r="G225" s="7">
        <v>0.0</v>
      </c>
      <c r="H225" s="12">
        <v>0.0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1" t="s">
        <v>12</v>
      </c>
      <c r="B226" s="11" t="s">
        <v>13</v>
      </c>
      <c r="C226" s="9" t="s">
        <v>207</v>
      </c>
      <c r="D226" s="9" t="s">
        <v>16</v>
      </c>
      <c r="E226" s="10" t="s">
        <v>14</v>
      </c>
      <c r="F226" s="6">
        <v>0.0</v>
      </c>
      <c r="G226" s="7">
        <v>0.0</v>
      </c>
      <c r="H226" s="12">
        <v>0.0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1" t="s">
        <v>12</v>
      </c>
      <c r="B227" s="11" t="s">
        <v>13</v>
      </c>
      <c r="C227" s="9" t="s">
        <v>208</v>
      </c>
      <c r="D227" s="9" t="s">
        <v>16</v>
      </c>
      <c r="E227" s="10" t="s">
        <v>14</v>
      </c>
      <c r="F227" s="6">
        <v>0.0</v>
      </c>
      <c r="G227" s="7">
        <v>0.0</v>
      </c>
      <c r="H227" s="12">
        <v>0.0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1" t="s">
        <v>12</v>
      </c>
      <c r="B228" s="11" t="s">
        <v>13</v>
      </c>
      <c r="C228" s="9" t="s">
        <v>209</v>
      </c>
      <c r="D228" s="9" t="s">
        <v>16</v>
      </c>
      <c r="E228" s="10" t="s">
        <v>14</v>
      </c>
      <c r="F228" s="6">
        <v>0.0</v>
      </c>
      <c r="G228" s="7">
        <v>0.0</v>
      </c>
      <c r="H228" s="12">
        <v>0.0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1" t="s">
        <v>7</v>
      </c>
      <c r="B229" s="11" t="s">
        <v>13</v>
      </c>
      <c r="C229" s="9" t="s">
        <v>210</v>
      </c>
      <c r="D229" s="9" t="s">
        <v>83</v>
      </c>
      <c r="E229" s="9" t="s">
        <v>211</v>
      </c>
      <c r="F229" s="6">
        <v>3350000.0</v>
      </c>
      <c r="G229" s="7">
        <v>0.0</v>
      </c>
      <c r="H229" s="12" t="str">
        <f t="array" ref="H229">XLOOKUP(C:C,Sheet3!A:A,Sheet3!B:B)</f>
        <v>#N/A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1" t="s">
        <v>12</v>
      </c>
      <c r="B230" s="11" t="s">
        <v>13</v>
      </c>
      <c r="C230" s="9" t="s">
        <v>210</v>
      </c>
      <c r="D230" s="9" t="s">
        <v>83</v>
      </c>
      <c r="E230" s="9" t="s">
        <v>212</v>
      </c>
      <c r="F230" s="6">
        <v>4050000.0</v>
      </c>
      <c r="G230" s="7">
        <v>3302368.0</v>
      </c>
      <c r="H230" s="12" t="str">
        <f t="array" ref="H230">XLOOKUP(C:C,Sheet3!A:A,Sheet3!B:B)</f>
        <v>#N/A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1" t="s">
        <v>12</v>
      </c>
      <c r="B231" s="11" t="s">
        <v>13</v>
      </c>
      <c r="C231" s="9" t="s">
        <v>213</v>
      </c>
      <c r="D231" s="9" t="s">
        <v>16</v>
      </c>
      <c r="E231" s="10" t="s">
        <v>14</v>
      </c>
      <c r="F231" s="6">
        <v>0.0</v>
      </c>
      <c r="G231" s="7">
        <v>0.0</v>
      </c>
      <c r="H231" s="12">
        <v>0.0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1" t="s">
        <v>12</v>
      </c>
      <c r="B232" s="11" t="s">
        <v>13</v>
      </c>
      <c r="C232" s="9" t="s">
        <v>214</v>
      </c>
      <c r="D232" s="9" t="s">
        <v>48</v>
      </c>
      <c r="E232" s="10" t="s">
        <v>14</v>
      </c>
      <c r="F232" s="6">
        <v>285000.0</v>
      </c>
      <c r="G232" s="7">
        <v>96760.0</v>
      </c>
      <c r="H232" s="12" t="str">
        <f t="array" ref="H232">XLOOKUP(C:C,Sheet3!A:A,Sheet3!B:B)</f>
        <v>#N/A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1" t="s">
        <v>12</v>
      </c>
      <c r="B233" s="11" t="s">
        <v>8</v>
      </c>
      <c r="C233" s="9" t="s">
        <v>214</v>
      </c>
      <c r="D233" s="9" t="s">
        <v>48</v>
      </c>
      <c r="E233" s="9" t="s">
        <v>49</v>
      </c>
      <c r="F233" s="6">
        <v>250000.0</v>
      </c>
      <c r="G233" s="7">
        <v>0.0</v>
      </c>
      <c r="H233" s="12" t="str">
        <f t="array" ref="H233">XLOOKUP(C:C,Sheet3!A:A,Sheet3!B:B)</f>
        <v>#N/A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1" t="s">
        <v>12</v>
      </c>
      <c r="B234" s="11" t="s">
        <v>13</v>
      </c>
      <c r="C234" s="9" t="s">
        <v>215</v>
      </c>
      <c r="D234" s="9" t="s">
        <v>16</v>
      </c>
      <c r="E234" s="10" t="s">
        <v>14</v>
      </c>
      <c r="F234" s="6">
        <v>0.0</v>
      </c>
      <c r="G234" s="7">
        <v>880000.0</v>
      </c>
      <c r="H234" s="12" t="str">
        <f t="array" ref="H234">XLOOKUP(C:C,Sheet3!A:A,Sheet3!B:B)</f>
        <v>#N/A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1" t="s">
        <v>12</v>
      </c>
      <c r="B235" s="11" t="s">
        <v>8</v>
      </c>
      <c r="C235" s="9" t="s">
        <v>216</v>
      </c>
      <c r="D235" s="9" t="s">
        <v>10</v>
      </c>
      <c r="E235" s="9" t="s">
        <v>49</v>
      </c>
      <c r="F235" s="6">
        <v>150000.0</v>
      </c>
      <c r="G235" s="7">
        <v>32042.0</v>
      </c>
      <c r="H235" s="12" t="str">
        <f t="array" ref="H235">XLOOKUP(C:C,Sheet3!A:A,Sheet3!B:B)</f>
        <v>#N/A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1" t="s">
        <v>12</v>
      </c>
      <c r="B236" s="11" t="s">
        <v>13</v>
      </c>
      <c r="C236" s="9" t="s">
        <v>216</v>
      </c>
      <c r="D236" s="9" t="s">
        <v>10</v>
      </c>
      <c r="E236" s="10" t="s">
        <v>14</v>
      </c>
      <c r="F236" s="6">
        <v>90000.0</v>
      </c>
      <c r="G236" s="7">
        <v>0.0</v>
      </c>
      <c r="H236" s="12" t="str">
        <f t="array" ref="H236">XLOOKUP(C:C,Sheet3!A:A,Sheet3!B:B)</f>
        <v>#N/A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1" t="s">
        <v>12</v>
      </c>
      <c r="B237" s="11" t="s">
        <v>13</v>
      </c>
      <c r="C237" s="9" t="s">
        <v>217</v>
      </c>
      <c r="D237" s="9" t="s">
        <v>19</v>
      </c>
      <c r="E237" s="9" t="s">
        <v>17</v>
      </c>
      <c r="F237" s="6">
        <v>1000000.0</v>
      </c>
      <c r="G237" s="7">
        <v>0.0</v>
      </c>
      <c r="H237" s="12" t="str">
        <f t="array" ref="H237">XLOOKUP(C:C,Sheet3!A:A,Sheet3!B:B)</f>
        <v>#N/A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1" t="s">
        <v>12</v>
      </c>
      <c r="B238" s="11" t="s">
        <v>13</v>
      </c>
      <c r="C238" s="9" t="s">
        <v>218</v>
      </c>
      <c r="D238" s="9" t="s">
        <v>16</v>
      </c>
      <c r="E238" s="10" t="s">
        <v>14</v>
      </c>
      <c r="F238" s="6">
        <v>0.0</v>
      </c>
      <c r="G238" s="7">
        <v>0.0</v>
      </c>
      <c r="H238" s="12">
        <v>0.0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1" t="s">
        <v>12</v>
      </c>
      <c r="B239" s="11" t="s">
        <v>13</v>
      </c>
      <c r="C239" s="9" t="s">
        <v>219</v>
      </c>
      <c r="D239" s="9" t="s">
        <v>16</v>
      </c>
      <c r="E239" s="9" t="s">
        <v>74</v>
      </c>
      <c r="F239" s="6">
        <v>0.0</v>
      </c>
      <c r="G239" s="7">
        <v>0.0</v>
      </c>
      <c r="H239" s="12">
        <v>0.0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1" t="s">
        <v>12</v>
      </c>
      <c r="B240" s="11" t="s">
        <v>13</v>
      </c>
      <c r="C240" s="9" t="s">
        <v>220</v>
      </c>
      <c r="D240" s="9" t="s">
        <v>16</v>
      </c>
      <c r="E240" s="10" t="s">
        <v>14</v>
      </c>
      <c r="F240" s="6">
        <v>0.0</v>
      </c>
      <c r="G240" s="7">
        <v>0.0</v>
      </c>
      <c r="H240" s="12">
        <v>0.0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1" t="s">
        <v>12</v>
      </c>
      <c r="B241" s="11" t="s">
        <v>13</v>
      </c>
      <c r="C241" s="9" t="s">
        <v>221</v>
      </c>
      <c r="D241" s="9" t="s">
        <v>48</v>
      </c>
      <c r="E241" s="10" t="s">
        <v>14</v>
      </c>
      <c r="F241" s="6">
        <v>0.0</v>
      </c>
      <c r="G241" s="7">
        <v>0.0</v>
      </c>
      <c r="H241" s="12" t="str">
        <f t="array" ref="H241">XLOOKUP(C:C,Sheet3!A:A,Sheet3!B:B)</f>
        <v>#N/A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1" t="s">
        <v>7</v>
      </c>
      <c r="B242" s="11" t="s">
        <v>13</v>
      </c>
      <c r="C242" s="9" t="s">
        <v>222</v>
      </c>
      <c r="D242" s="9" t="s">
        <v>37</v>
      </c>
      <c r="E242" s="9" t="s">
        <v>223</v>
      </c>
      <c r="F242" s="6">
        <v>1.37E7</v>
      </c>
      <c r="G242" s="7">
        <v>0.0</v>
      </c>
      <c r="H242" s="12" t="str">
        <f t="array" ref="H242">XLOOKUP(C:C,Sheet3!A:A,Sheet3!B:B)</f>
        <v>#N/A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1" t="s">
        <v>12</v>
      </c>
      <c r="B243" s="11" t="s">
        <v>13</v>
      </c>
      <c r="C243" s="9" t="s">
        <v>222</v>
      </c>
      <c r="D243" s="9" t="s">
        <v>37</v>
      </c>
      <c r="E243" s="9" t="s">
        <v>96</v>
      </c>
      <c r="F243" s="6">
        <v>1.45E7</v>
      </c>
      <c r="G243" s="7">
        <v>9177901.0</v>
      </c>
      <c r="H243" s="12" t="str">
        <f t="array" ref="H243">XLOOKUP(C:C,Sheet3!A:A,Sheet3!B:B)</f>
        <v>#N/A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1" t="s">
        <v>12</v>
      </c>
      <c r="B244" s="11" t="s">
        <v>13</v>
      </c>
      <c r="C244" s="9" t="s">
        <v>224</v>
      </c>
      <c r="D244" s="9" t="s">
        <v>37</v>
      </c>
      <c r="E244" s="10" t="s">
        <v>14</v>
      </c>
      <c r="F244" s="6">
        <v>0.0</v>
      </c>
      <c r="G244" s="7">
        <v>0.0</v>
      </c>
      <c r="H244" s="12" t="str">
        <f t="array" ref="H244">XLOOKUP(C:C,Sheet3!A:A,Sheet3!B:B)</f>
        <v>#N/A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1" t="s">
        <v>7</v>
      </c>
      <c r="B245" s="11" t="s">
        <v>13</v>
      </c>
      <c r="C245" s="9" t="s">
        <v>225</v>
      </c>
      <c r="D245" s="9" t="s">
        <v>37</v>
      </c>
      <c r="E245" s="9" t="s">
        <v>17</v>
      </c>
      <c r="F245" s="6">
        <v>100000.0</v>
      </c>
      <c r="G245" s="7">
        <v>0.0</v>
      </c>
      <c r="H245" s="12" t="str">
        <f t="array" ref="H245">XLOOKUP(C:C,Sheet3!A:A,Sheet3!B:B)</f>
        <v>#N/A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1" t="s">
        <v>12</v>
      </c>
      <c r="B246" s="11" t="s">
        <v>13</v>
      </c>
      <c r="C246" s="9" t="s">
        <v>225</v>
      </c>
      <c r="D246" s="9" t="s">
        <v>37</v>
      </c>
      <c r="E246" s="9" t="s">
        <v>96</v>
      </c>
      <c r="F246" s="6">
        <v>1000000.0</v>
      </c>
      <c r="G246" s="7">
        <v>454448.0</v>
      </c>
      <c r="H246" s="12" t="str">
        <f t="array" ref="H246">XLOOKUP(C:C,Sheet3!A:A,Sheet3!B:B)</f>
        <v>#N/A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1" t="s">
        <v>12</v>
      </c>
      <c r="B247" s="11" t="s">
        <v>13</v>
      </c>
      <c r="C247" s="9" t="s">
        <v>226</v>
      </c>
      <c r="D247" s="9" t="s">
        <v>16</v>
      </c>
      <c r="E247" s="10" t="s">
        <v>14</v>
      </c>
      <c r="F247" s="6">
        <v>0.0</v>
      </c>
      <c r="G247" s="7">
        <v>1573336.0</v>
      </c>
      <c r="H247" s="12" t="str">
        <f t="array" ref="H247">XLOOKUP(C:C,Sheet3!A:A,Sheet3!B:B)</f>
        <v>#N/A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1" t="s">
        <v>12</v>
      </c>
      <c r="B248" s="11" t="s">
        <v>13</v>
      </c>
      <c r="C248" s="9" t="s">
        <v>227</v>
      </c>
      <c r="D248" s="9" t="s">
        <v>16</v>
      </c>
      <c r="E248" s="10" t="s">
        <v>14</v>
      </c>
      <c r="F248" s="6">
        <v>0.0</v>
      </c>
      <c r="G248" s="7">
        <v>0.0</v>
      </c>
      <c r="H248" s="12">
        <v>0.0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1" t="s">
        <v>12</v>
      </c>
      <c r="B249" s="11" t="s">
        <v>13</v>
      </c>
      <c r="C249" s="9" t="s">
        <v>228</v>
      </c>
      <c r="D249" s="9" t="s">
        <v>16</v>
      </c>
      <c r="E249" s="9" t="s">
        <v>17</v>
      </c>
      <c r="F249" s="6">
        <v>0.0</v>
      </c>
      <c r="G249" s="7">
        <v>0.0</v>
      </c>
      <c r="H249" s="12">
        <v>0.0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1" t="s">
        <v>12</v>
      </c>
      <c r="B250" s="11" t="s">
        <v>8</v>
      </c>
      <c r="C250" s="9" t="s">
        <v>229</v>
      </c>
      <c r="D250" s="9" t="s">
        <v>16</v>
      </c>
      <c r="E250" s="9" t="s">
        <v>11</v>
      </c>
      <c r="F250" s="6">
        <v>300000.0</v>
      </c>
      <c r="G250" s="7">
        <v>382202.0</v>
      </c>
      <c r="H250" s="12" t="str">
        <f t="array" ref="H250">XLOOKUP(C:C,Sheet3!A:A,Sheet3!B:B)</f>
        <v>#N/A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1" t="s">
        <v>12</v>
      </c>
      <c r="B251" s="11" t="s">
        <v>13</v>
      </c>
      <c r="C251" s="9" t="s">
        <v>229</v>
      </c>
      <c r="D251" s="9" t="s">
        <v>16</v>
      </c>
      <c r="E251" s="10" t="s">
        <v>14</v>
      </c>
      <c r="F251" s="6">
        <v>503000.0</v>
      </c>
      <c r="G251" s="7">
        <v>0.0</v>
      </c>
      <c r="H251" s="12" t="str">
        <f t="array" ref="H251">XLOOKUP(C:C,Sheet3!A:A,Sheet3!B:B)</f>
        <v>#N/A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1" t="s">
        <v>12</v>
      </c>
      <c r="B252" s="11" t="s">
        <v>13</v>
      </c>
      <c r="C252" s="9" t="s">
        <v>230</v>
      </c>
      <c r="D252" s="9" t="s">
        <v>16</v>
      </c>
      <c r="E252" s="10" t="s">
        <v>14</v>
      </c>
      <c r="F252" s="6">
        <v>0.0</v>
      </c>
      <c r="G252" s="7">
        <v>0.0</v>
      </c>
      <c r="H252" s="12">
        <v>0.0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1" t="s">
        <v>7</v>
      </c>
      <c r="B253" s="11" t="s">
        <v>13</v>
      </c>
      <c r="C253" s="9" t="s">
        <v>231</v>
      </c>
      <c r="D253" s="9" t="s">
        <v>19</v>
      </c>
      <c r="E253" s="9" t="s">
        <v>17</v>
      </c>
      <c r="F253" s="6">
        <v>100000.0</v>
      </c>
      <c r="G253" s="7">
        <v>0.0</v>
      </c>
      <c r="H253" s="12" t="str">
        <f t="array" ref="H253">XLOOKUP(C:C,Sheet3!A:A,Sheet3!B:B)</f>
        <v>#N/A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1" t="s">
        <v>12</v>
      </c>
      <c r="B254" s="11" t="s">
        <v>13</v>
      </c>
      <c r="C254" s="9" t="s">
        <v>231</v>
      </c>
      <c r="D254" s="9" t="s">
        <v>19</v>
      </c>
      <c r="E254" s="9" t="s">
        <v>17</v>
      </c>
      <c r="F254" s="6">
        <v>1500000.0</v>
      </c>
      <c r="G254" s="7">
        <v>0.0</v>
      </c>
      <c r="H254" s="12" t="str">
        <f t="array" ref="H254">XLOOKUP(C:C,Sheet3!A:A,Sheet3!B:B)</f>
        <v>#N/A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1" t="s">
        <v>12</v>
      </c>
      <c r="B255" s="11" t="s">
        <v>13</v>
      </c>
      <c r="C255" s="9" t="s">
        <v>232</v>
      </c>
      <c r="D255" s="9" t="s">
        <v>16</v>
      </c>
      <c r="E255" s="10" t="s">
        <v>14</v>
      </c>
      <c r="F255" s="6">
        <v>600000.0</v>
      </c>
      <c r="G255" s="7">
        <v>-277300.0</v>
      </c>
      <c r="H255" s="12" t="str">
        <f t="array" ref="H255">XLOOKUP(C:C,Sheet3!A:A,Sheet3!B:B)</f>
        <v>#N/A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1" t="s">
        <v>12</v>
      </c>
      <c r="B256" s="11" t="s">
        <v>13</v>
      </c>
      <c r="C256" s="9" t="s">
        <v>233</v>
      </c>
      <c r="D256" s="9" t="s">
        <v>16</v>
      </c>
      <c r="E256" s="10" t="s">
        <v>14</v>
      </c>
      <c r="F256" s="6">
        <v>0.0</v>
      </c>
      <c r="G256" s="7">
        <v>0.0</v>
      </c>
      <c r="H256" s="12">
        <v>0.0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1" t="s">
        <v>12</v>
      </c>
      <c r="B257" s="11" t="s">
        <v>13</v>
      </c>
      <c r="C257" s="9" t="s">
        <v>234</v>
      </c>
      <c r="D257" s="9" t="s">
        <v>16</v>
      </c>
      <c r="E257" s="10" t="s">
        <v>14</v>
      </c>
      <c r="F257" s="6">
        <v>0.0</v>
      </c>
      <c r="G257" s="7">
        <v>-21000.0</v>
      </c>
      <c r="H257" s="12">
        <v>0.0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1" t="s">
        <v>12</v>
      </c>
      <c r="B258" s="11" t="s">
        <v>13</v>
      </c>
      <c r="C258" s="9" t="s">
        <v>235</v>
      </c>
      <c r="D258" s="9" t="s">
        <v>16</v>
      </c>
      <c r="E258" s="10" t="s">
        <v>14</v>
      </c>
      <c r="F258" s="6">
        <v>0.0</v>
      </c>
      <c r="G258" s="7">
        <v>0.0</v>
      </c>
      <c r="H258" s="12">
        <v>0.0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1" t="s">
        <v>7</v>
      </c>
      <c r="B259" s="11" t="s">
        <v>13</v>
      </c>
      <c r="C259" s="9" t="s">
        <v>236</v>
      </c>
      <c r="D259" s="9" t="s">
        <v>88</v>
      </c>
      <c r="E259" s="9" t="s">
        <v>23</v>
      </c>
      <c r="F259" s="6">
        <v>1500000.0</v>
      </c>
      <c r="G259" s="7">
        <v>0.0</v>
      </c>
      <c r="H259" s="12" t="str">
        <f t="array" ref="H259">XLOOKUP(C:C,Sheet3!A:A,Sheet3!B:B)</f>
        <v>#N/A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1" t="s">
        <v>12</v>
      </c>
      <c r="B260" s="11" t="s">
        <v>13</v>
      </c>
      <c r="C260" s="9" t="s">
        <v>236</v>
      </c>
      <c r="D260" s="9" t="s">
        <v>88</v>
      </c>
      <c r="E260" s="9" t="s">
        <v>17</v>
      </c>
      <c r="F260" s="6">
        <v>1500000.0</v>
      </c>
      <c r="G260" s="7">
        <v>704317.0</v>
      </c>
      <c r="H260" s="12" t="str">
        <f t="array" ref="H260">XLOOKUP(C:C,Sheet3!A:A,Sheet3!B:B)</f>
        <v>#N/A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1" t="s">
        <v>12</v>
      </c>
      <c r="B261" s="11" t="s">
        <v>13</v>
      </c>
      <c r="C261" s="9" t="s">
        <v>237</v>
      </c>
      <c r="D261" s="9" t="s">
        <v>16</v>
      </c>
      <c r="E261" s="10" t="s">
        <v>14</v>
      </c>
      <c r="F261" s="6">
        <v>0.0</v>
      </c>
      <c r="G261" s="7">
        <v>0.0</v>
      </c>
      <c r="H261" s="12">
        <v>0.0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1" t="s">
        <v>12</v>
      </c>
      <c r="B262" s="11" t="s">
        <v>13</v>
      </c>
      <c r="C262" s="9" t="s">
        <v>238</v>
      </c>
      <c r="D262" s="9" t="s">
        <v>16</v>
      </c>
      <c r="E262" s="10" t="s">
        <v>14</v>
      </c>
      <c r="F262" s="6">
        <v>0.0</v>
      </c>
      <c r="G262" s="7">
        <v>0.0</v>
      </c>
      <c r="H262" s="12">
        <v>0.0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1" t="s">
        <v>12</v>
      </c>
      <c r="B263" s="11" t="s">
        <v>13</v>
      </c>
      <c r="C263" s="9" t="s">
        <v>26</v>
      </c>
      <c r="D263" s="9" t="s">
        <v>16</v>
      </c>
      <c r="E263" s="10" t="s">
        <v>14</v>
      </c>
      <c r="F263" s="6">
        <v>0.0</v>
      </c>
      <c r="G263" s="7">
        <v>0.0</v>
      </c>
      <c r="H263" s="12">
        <v>0.0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1" t="s">
        <v>12</v>
      </c>
      <c r="B264" s="11" t="s">
        <v>13</v>
      </c>
      <c r="C264" s="9" t="s">
        <v>239</v>
      </c>
      <c r="D264" s="9" t="s">
        <v>16</v>
      </c>
      <c r="E264" s="10" t="s">
        <v>14</v>
      </c>
      <c r="F264" s="6">
        <v>0.0</v>
      </c>
      <c r="G264" s="7">
        <v>0.0</v>
      </c>
      <c r="H264" s="12">
        <v>0.0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1" t="s">
        <v>12</v>
      </c>
      <c r="B265" s="11" t="s">
        <v>13</v>
      </c>
      <c r="C265" s="9" t="s">
        <v>240</v>
      </c>
      <c r="D265" s="9" t="s">
        <v>16</v>
      </c>
      <c r="E265" s="10" t="s">
        <v>14</v>
      </c>
      <c r="F265" s="6">
        <v>25000.0</v>
      </c>
      <c r="G265" s="7">
        <v>0.0</v>
      </c>
      <c r="H265" s="12">
        <v>0.0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1" t="s">
        <v>12</v>
      </c>
      <c r="B266" s="11" t="s">
        <v>13</v>
      </c>
      <c r="C266" s="9" t="s">
        <v>241</v>
      </c>
      <c r="D266" s="9" t="s">
        <v>16</v>
      </c>
      <c r="E266" s="10" t="s">
        <v>14</v>
      </c>
      <c r="F266" s="6">
        <v>0.0</v>
      </c>
      <c r="G266" s="7">
        <v>0.0</v>
      </c>
      <c r="H266" s="12">
        <v>0.0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1" t="s">
        <v>12</v>
      </c>
      <c r="B267" s="11" t="s">
        <v>13</v>
      </c>
      <c r="C267" s="9" t="s">
        <v>242</v>
      </c>
      <c r="D267" s="9" t="s">
        <v>16</v>
      </c>
      <c r="E267" s="10" t="s">
        <v>14</v>
      </c>
      <c r="F267" s="6">
        <v>0.0</v>
      </c>
      <c r="G267" s="7">
        <v>0.0</v>
      </c>
      <c r="H267" s="12">
        <v>0.0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1" t="s">
        <v>12</v>
      </c>
      <c r="B268" s="11" t="s">
        <v>13</v>
      </c>
      <c r="C268" s="9" t="s">
        <v>243</v>
      </c>
      <c r="D268" s="9" t="s">
        <v>16</v>
      </c>
      <c r="E268" s="9" t="s">
        <v>74</v>
      </c>
      <c r="F268" s="6">
        <v>0.0</v>
      </c>
      <c r="G268" s="7">
        <v>0.0</v>
      </c>
      <c r="H268" s="12">
        <v>0.0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1" t="s">
        <v>12</v>
      </c>
      <c r="B269" s="11" t="s">
        <v>13</v>
      </c>
      <c r="C269" s="9" t="s">
        <v>244</v>
      </c>
      <c r="D269" s="9" t="s">
        <v>16</v>
      </c>
      <c r="E269" s="10" t="s">
        <v>14</v>
      </c>
      <c r="F269" s="6">
        <v>0.0</v>
      </c>
      <c r="G269" s="7">
        <v>0.0</v>
      </c>
      <c r="H269" s="12">
        <v>0.0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1" t="s">
        <v>12</v>
      </c>
      <c r="B270" s="11" t="s">
        <v>13</v>
      </c>
      <c r="C270" s="9" t="s">
        <v>245</v>
      </c>
      <c r="D270" s="9" t="s">
        <v>16</v>
      </c>
      <c r="E270" s="10" t="s">
        <v>14</v>
      </c>
      <c r="F270" s="6">
        <v>0.0</v>
      </c>
      <c r="G270" s="7">
        <v>0.0</v>
      </c>
      <c r="H270" s="12">
        <v>0.0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1" t="s">
        <v>7</v>
      </c>
      <c r="B271" s="11" t="s">
        <v>8</v>
      </c>
      <c r="C271" s="9" t="s">
        <v>246</v>
      </c>
      <c r="D271" s="9" t="s">
        <v>48</v>
      </c>
      <c r="E271" s="9" t="s">
        <v>11</v>
      </c>
      <c r="F271" s="6">
        <v>2153000.0</v>
      </c>
      <c r="G271" s="7">
        <v>0.0</v>
      </c>
      <c r="H271" s="12" t="str">
        <f t="array" ref="H271">XLOOKUP(C:C,Sheet3!A:A,Sheet3!B:B)</f>
        <v>#N/A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1" t="s">
        <v>12</v>
      </c>
      <c r="B272" s="11" t="s">
        <v>8</v>
      </c>
      <c r="C272" s="9" t="s">
        <v>246</v>
      </c>
      <c r="D272" s="9" t="s">
        <v>48</v>
      </c>
      <c r="E272" s="9" t="s">
        <v>11</v>
      </c>
      <c r="F272" s="6">
        <v>2153000.0</v>
      </c>
      <c r="G272" s="7">
        <v>441727.0</v>
      </c>
      <c r="H272" s="12" t="str">
        <f t="array" ref="H272">XLOOKUP(C:C,Sheet3!A:A,Sheet3!B:B)</f>
        <v>#N/A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1" t="s">
        <v>12</v>
      </c>
      <c r="B273" s="11" t="s">
        <v>13</v>
      </c>
      <c r="C273" s="9" t="s">
        <v>246</v>
      </c>
      <c r="D273" s="9" t="s">
        <v>48</v>
      </c>
      <c r="E273" s="9" t="s">
        <v>11</v>
      </c>
      <c r="F273" s="6">
        <v>850000.0</v>
      </c>
      <c r="G273" s="7">
        <v>0.0</v>
      </c>
      <c r="H273" s="12" t="str">
        <f t="array" ref="H273">XLOOKUP(C:C,Sheet3!A:A,Sheet3!B:B)</f>
        <v>#N/A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1" t="s">
        <v>12</v>
      </c>
      <c r="B274" s="11" t="s">
        <v>13</v>
      </c>
      <c r="C274" s="9" t="s">
        <v>247</v>
      </c>
      <c r="D274" s="9" t="s">
        <v>48</v>
      </c>
      <c r="E274" s="10" t="s">
        <v>14</v>
      </c>
      <c r="F274" s="6">
        <v>0.0</v>
      </c>
      <c r="G274" s="7">
        <v>0.0</v>
      </c>
      <c r="H274" s="12" t="str">
        <f t="array" ref="H274">XLOOKUP(C:C,Sheet3!A:A,Sheet3!B:B)</f>
        <v>#N/A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1" t="s">
        <v>12</v>
      </c>
      <c r="B275" s="11" t="s">
        <v>13</v>
      </c>
      <c r="C275" s="9" t="s">
        <v>248</v>
      </c>
      <c r="D275" s="9" t="s">
        <v>16</v>
      </c>
      <c r="E275" s="10" t="s">
        <v>14</v>
      </c>
      <c r="F275" s="6">
        <v>13000.0</v>
      </c>
      <c r="G275" s="7">
        <v>0.0</v>
      </c>
      <c r="H275" s="12">
        <v>0.0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1" t="s">
        <v>7</v>
      </c>
      <c r="B276" s="11" t="s">
        <v>13</v>
      </c>
      <c r="C276" s="9" t="s">
        <v>249</v>
      </c>
      <c r="D276" s="9" t="s">
        <v>16</v>
      </c>
      <c r="E276" s="9" t="s">
        <v>55</v>
      </c>
      <c r="F276" s="6">
        <v>200000.0</v>
      </c>
      <c r="G276" s="7">
        <v>0.0</v>
      </c>
      <c r="H276" s="12" t="str">
        <f t="array" ref="H276">XLOOKUP(C:C,Sheet3!A:A,Sheet3!B:B)</f>
        <v>#N/A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1" t="s">
        <v>12</v>
      </c>
      <c r="B277" s="11" t="s">
        <v>13</v>
      </c>
      <c r="C277" s="9" t="s">
        <v>249</v>
      </c>
      <c r="D277" s="9" t="s">
        <v>16</v>
      </c>
      <c r="E277" s="9" t="s">
        <v>55</v>
      </c>
      <c r="F277" s="6">
        <v>500000.0</v>
      </c>
      <c r="G277" s="7">
        <v>0.0</v>
      </c>
      <c r="H277" s="12" t="str">
        <f t="array" ref="H277">XLOOKUP(C:C,Sheet3!A:A,Sheet3!B:B)</f>
        <v>#N/A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1" t="s">
        <v>12</v>
      </c>
      <c r="B278" s="11" t="s">
        <v>13</v>
      </c>
      <c r="C278" s="9" t="s">
        <v>250</v>
      </c>
      <c r="D278" s="9" t="s">
        <v>16</v>
      </c>
      <c r="E278" s="10" t="s">
        <v>14</v>
      </c>
      <c r="F278" s="6">
        <v>0.0</v>
      </c>
      <c r="G278" s="7">
        <v>0.0</v>
      </c>
      <c r="H278" s="12">
        <v>0.0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1" t="s">
        <v>12</v>
      </c>
      <c r="B279" s="11" t="s">
        <v>13</v>
      </c>
      <c r="C279" s="9" t="s">
        <v>251</v>
      </c>
      <c r="D279" s="9" t="s">
        <v>16</v>
      </c>
      <c r="E279" s="10" t="s">
        <v>14</v>
      </c>
      <c r="F279" s="6">
        <v>0.0</v>
      </c>
      <c r="G279" s="7">
        <v>0.0</v>
      </c>
      <c r="H279" s="12">
        <v>0.0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1" t="s">
        <v>12</v>
      </c>
      <c r="B280" s="11" t="s">
        <v>13</v>
      </c>
      <c r="C280" s="9" t="s">
        <v>252</v>
      </c>
      <c r="D280" s="9" t="s">
        <v>16</v>
      </c>
      <c r="E280" s="10" t="s">
        <v>14</v>
      </c>
      <c r="F280" s="6">
        <v>0.0</v>
      </c>
      <c r="G280" s="7">
        <v>0.0</v>
      </c>
      <c r="H280" s="12">
        <v>0.0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1" t="s">
        <v>7</v>
      </c>
      <c r="B281" s="11" t="s">
        <v>13</v>
      </c>
      <c r="C281" s="9" t="s">
        <v>253</v>
      </c>
      <c r="D281" s="9" t="s">
        <v>16</v>
      </c>
      <c r="E281" s="10" t="s">
        <v>14</v>
      </c>
      <c r="F281" s="6">
        <v>0.0</v>
      </c>
      <c r="G281" s="7">
        <v>0.0</v>
      </c>
      <c r="H281" s="12">
        <v>0.0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1" t="s">
        <v>12</v>
      </c>
      <c r="B282" s="11" t="s">
        <v>13</v>
      </c>
      <c r="C282" s="9" t="s">
        <v>254</v>
      </c>
      <c r="D282" s="9" t="s">
        <v>48</v>
      </c>
      <c r="E282" s="10" t="s">
        <v>14</v>
      </c>
      <c r="F282" s="6">
        <v>0.0</v>
      </c>
      <c r="G282" s="7">
        <v>0.0</v>
      </c>
      <c r="H282" s="12" t="str">
        <f t="array" ref="H282">XLOOKUP(C:C,Sheet3!A:A,Sheet3!B:B)</f>
        <v>#N/A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1" t="s">
        <v>7</v>
      </c>
      <c r="B283" s="11" t="s">
        <v>13</v>
      </c>
      <c r="C283" s="9" t="s">
        <v>255</v>
      </c>
      <c r="D283" s="9" t="s">
        <v>16</v>
      </c>
      <c r="E283" s="10" t="s">
        <v>14</v>
      </c>
      <c r="F283" s="6">
        <v>0.0</v>
      </c>
      <c r="G283" s="7">
        <v>-200000.0</v>
      </c>
      <c r="H283" s="12">
        <v>0.0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1" t="s">
        <v>12</v>
      </c>
      <c r="B284" s="11" t="s">
        <v>13</v>
      </c>
      <c r="C284" s="9" t="s">
        <v>256</v>
      </c>
      <c r="D284" s="9" t="s">
        <v>16</v>
      </c>
      <c r="E284" s="10" t="s">
        <v>14</v>
      </c>
      <c r="F284" s="6">
        <v>0.0</v>
      </c>
      <c r="G284" s="7">
        <v>0.0</v>
      </c>
      <c r="H284" s="12">
        <v>0.0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1" t="s">
        <v>12</v>
      </c>
      <c r="B285" s="11" t="s">
        <v>13</v>
      </c>
      <c r="C285" s="9" t="s">
        <v>257</v>
      </c>
      <c r="D285" s="9" t="s">
        <v>16</v>
      </c>
      <c r="E285" s="10" t="s">
        <v>14</v>
      </c>
      <c r="F285" s="6">
        <v>0.0</v>
      </c>
      <c r="G285" s="7">
        <v>0.0</v>
      </c>
      <c r="H285" s="12">
        <v>0.0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1" t="s">
        <v>12</v>
      </c>
      <c r="B286" s="11" t="s">
        <v>13</v>
      </c>
      <c r="C286" s="9" t="s">
        <v>258</v>
      </c>
      <c r="D286" s="9" t="s">
        <v>16</v>
      </c>
      <c r="E286" s="10" t="s">
        <v>14</v>
      </c>
      <c r="F286" s="6">
        <v>31000.0</v>
      </c>
      <c r="G286" s="7">
        <v>0.0</v>
      </c>
      <c r="H286" s="12">
        <v>0.0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1" t="s">
        <v>12</v>
      </c>
      <c r="B287" s="11" t="s">
        <v>13</v>
      </c>
      <c r="C287" s="9" t="s">
        <v>259</v>
      </c>
      <c r="D287" s="9" t="s">
        <v>16</v>
      </c>
      <c r="E287" s="10" t="s">
        <v>14</v>
      </c>
      <c r="F287" s="6">
        <v>200000.0</v>
      </c>
      <c r="G287" s="7">
        <v>0.0</v>
      </c>
      <c r="H287" s="12" t="str">
        <f t="array" ref="H287">XLOOKUP(C:C,Sheet3!A:A,Sheet3!B:B)</f>
        <v>#N/A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1" t="s">
        <v>12</v>
      </c>
      <c r="B288" s="11" t="s">
        <v>13</v>
      </c>
      <c r="C288" s="9" t="s">
        <v>260</v>
      </c>
      <c r="D288" s="9" t="s">
        <v>16</v>
      </c>
      <c r="E288" s="10" t="s">
        <v>14</v>
      </c>
      <c r="F288" s="6">
        <v>0.0</v>
      </c>
      <c r="G288" s="7">
        <v>0.0</v>
      </c>
      <c r="H288" s="12">
        <v>0.0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1" t="s">
        <v>12</v>
      </c>
      <c r="B289" s="11" t="s">
        <v>13</v>
      </c>
      <c r="C289" s="9" t="s">
        <v>261</v>
      </c>
      <c r="D289" s="9" t="s">
        <v>16</v>
      </c>
      <c r="E289" s="9" t="s">
        <v>17</v>
      </c>
      <c r="F289" s="6">
        <v>1250000.0</v>
      </c>
      <c r="G289" s="7">
        <v>0.0</v>
      </c>
      <c r="H289" s="12" t="str">
        <f t="array" ref="H289">XLOOKUP(C:C,Sheet3!A:A,Sheet3!B:B)</f>
        <v>#N/A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1" t="s">
        <v>12</v>
      </c>
      <c r="B290" s="11" t="s">
        <v>13</v>
      </c>
      <c r="C290" s="9" t="s">
        <v>262</v>
      </c>
      <c r="D290" s="9" t="s">
        <v>26</v>
      </c>
      <c r="E290" s="10" t="s">
        <v>14</v>
      </c>
      <c r="F290" s="6">
        <v>15000.0</v>
      </c>
      <c r="G290" s="7">
        <v>0.0</v>
      </c>
      <c r="H290" s="12" t="str">
        <f t="array" ref="H290">XLOOKUP(C:C,Sheet3!A:A,Sheet3!B:B)</f>
        <v>#N/A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1" t="s">
        <v>7</v>
      </c>
      <c r="B291" s="11" t="s">
        <v>8</v>
      </c>
      <c r="C291" s="9" t="s">
        <v>263</v>
      </c>
      <c r="D291" s="9" t="s">
        <v>10</v>
      </c>
      <c r="E291" s="10" t="s">
        <v>14</v>
      </c>
      <c r="F291" s="6">
        <v>0.0</v>
      </c>
      <c r="G291" s="7">
        <v>0.0</v>
      </c>
      <c r="H291" s="12" t="str">
        <f t="array" ref="H291">XLOOKUP(C:C,Sheet3!A:A,Sheet3!B:B)</f>
        <v>#N/A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1" t="s">
        <v>7</v>
      </c>
      <c r="B292" s="11" t="s">
        <v>13</v>
      </c>
      <c r="C292" s="9" t="s">
        <v>263</v>
      </c>
      <c r="D292" s="9" t="s">
        <v>10</v>
      </c>
      <c r="E292" s="10" t="s">
        <v>14</v>
      </c>
      <c r="F292" s="6">
        <v>0.0</v>
      </c>
      <c r="G292" s="7">
        <v>0.0</v>
      </c>
      <c r="H292" s="12" t="str">
        <f t="array" ref="H292">XLOOKUP(C:C,Sheet3!A:A,Sheet3!B:B)</f>
        <v>#N/A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1" t="s">
        <v>12</v>
      </c>
      <c r="B293" s="11" t="s">
        <v>13</v>
      </c>
      <c r="C293" s="9" t="s">
        <v>263</v>
      </c>
      <c r="D293" s="9" t="s">
        <v>10</v>
      </c>
      <c r="E293" s="10" t="s">
        <v>14</v>
      </c>
      <c r="F293" s="6">
        <v>0.0</v>
      </c>
      <c r="G293" s="7">
        <v>0.0</v>
      </c>
      <c r="H293" s="12" t="str">
        <f t="array" ref="H293">XLOOKUP(C:C,Sheet3!A:A,Sheet3!B:B)</f>
        <v>#N/A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1" t="s">
        <v>12</v>
      </c>
      <c r="B294" s="11" t="s">
        <v>8</v>
      </c>
      <c r="C294" s="9" t="s">
        <v>263</v>
      </c>
      <c r="D294" s="9" t="s">
        <v>10</v>
      </c>
      <c r="E294" s="9" t="s">
        <v>17</v>
      </c>
      <c r="F294" s="6">
        <v>1811000.0</v>
      </c>
      <c r="G294" s="7">
        <v>0.0</v>
      </c>
      <c r="H294" s="12" t="str">
        <f t="array" ref="H294">XLOOKUP(C:C,Sheet3!A:A,Sheet3!B:B)</f>
        <v>#N/A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1" t="s">
        <v>12</v>
      </c>
      <c r="B295" s="11" t="s">
        <v>13</v>
      </c>
      <c r="C295" s="9" t="s">
        <v>264</v>
      </c>
      <c r="D295" s="9" t="s">
        <v>10</v>
      </c>
      <c r="E295" s="10" t="s">
        <v>14</v>
      </c>
      <c r="F295" s="6">
        <v>654000.0</v>
      </c>
      <c r="G295" s="7">
        <v>-102000.0</v>
      </c>
      <c r="H295" s="12" t="str">
        <f t="array" ref="H295">XLOOKUP(C:C,Sheet3!A:A,Sheet3!B:B)</f>
        <v>#N/A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1" t="s">
        <v>12</v>
      </c>
      <c r="B296" s="11" t="s">
        <v>13</v>
      </c>
      <c r="C296" s="9" t="s">
        <v>265</v>
      </c>
      <c r="D296" s="9" t="s">
        <v>16</v>
      </c>
      <c r="E296" s="9" t="s">
        <v>11</v>
      </c>
      <c r="F296" s="6">
        <v>500000.0</v>
      </c>
      <c r="G296" s="7">
        <v>0.0</v>
      </c>
      <c r="H296" s="12" t="str">
        <f t="array" ref="H296">XLOOKUP(C:C,Sheet3!A:A,Sheet3!B:B)</f>
        <v>#N/A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1" t="s">
        <v>12</v>
      </c>
      <c r="B297" s="11" t="s">
        <v>13</v>
      </c>
      <c r="C297" s="9" t="s">
        <v>266</v>
      </c>
      <c r="D297" s="9" t="s">
        <v>16</v>
      </c>
      <c r="E297" s="10" t="s">
        <v>14</v>
      </c>
      <c r="F297" s="6">
        <v>0.0</v>
      </c>
      <c r="G297" s="7">
        <v>0.0</v>
      </c>
      <c r="H297" s="12">
        <v>0.0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1" t="s">
        <v>12</v>
      </c>
      <c r="B298" s="11" t="s">
        <v>13</v>
      </c>
      <c r="C298" s="9" t="s">
        <v>267</v>
      </c>
      <c r="D298" s="9" t="s">
        <v>16</v>
      </c>
      <c r="E298" s="10" t="s">
        <v>14</v>
      </c>
      <c r="F298" s="6">
        <v>0.0</v>
      </c>
      <c r="G298" s="7">
        <v>0.0</v>
      </c>
      <c r="H298" s="12" t="str">
        <f t="array" ref="H298">XLOOKUP(C:C,Sheet3!A:A,Sheet3!B:B)</f>
        <v>#N/A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1" t="s">
        <v>12</v>
      </c>
      <c r="B299" s="11" t="s">
        <v>13</v>
      </c>
      <c r="C299" s="9" t="s">
        <v>268</v>
      </c>
      <c r="D299" s="9" t="s">
        <v>16</v>
      </c>
      <c r="E299" s="10" t="s">
        <v>14</v>
      </c>
      <c r="F299" s="6">
        <v>0.0</v>
      </c>
      <c r="G299" s="7">
        <v>0.0</v>
      </c>
      <c r="H299" s="12">
        <v>0.0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1" t="s">
        <v>12</v>
      </c>
      <c r="B300" s="11" t="s">
        <v>13</v>
      </c>
      <c r="C300" s="9" t="s">
        <v>269</v>
      </c>
      <c r="D300" s="9" t="s">
        <v>16</v>
      </c>
      <c r="E300" s="9" t="s">
        <v>49</v>
      </c>
      <c r="F300" s="6">
        <v>1000000.0</v>
      </c>
      <c r="G300" s="7">
        <v>0.0</v>
      </c>
      <c r="H300" s="12" t="str">
        <f t="array" ref="H300">XLOOKUP(C:C,Sheet3!A:A,Sheet3!B:B)</f>
        <v>#N/A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1" t="s">
        <v>12</v>
      </c>
      <c r="B301" s="11" t="s">
        <v>13</v>
      </c>
      <c r="C301" s="9" t="s">
        <v>270</v>
      </c>
      <c r="D301" s="9" t="s">
        <v>16</v>
      </c>
      <c r="E301" s="10" t="s">
        <v>14</v>
      </c>
      <c r="F301" s="6">
        <v>0.0</v>
      </c>
      <c r="G301" s="7">
        <v>0.0</v>
      </c>
      <c r="H301" s="12">
        <v>0.0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1" t="s">
        <v>12</v>
      </c>
      <c r="B302" s="11" t="s">
        <v>13</v>
      </c>
      <c r="C302" s="9" t="s">
        <v>271</v>
      </c>
      <c r="D302" s="9" t="s">
        <v>16</v>
      </c>
      <c r="E302" s="10" t="s">
        <v>14</v>
      </c>
      <c r="F302" s="6">
        <v>0.0</v>
      </c>
      <c r="G302" s="7">
        <v>0.0</v>
      </c>
      <c r="H302" s="12">
        <v>0.0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1" t="s">
        <v>12</v>
      </c>
      <c r="B303" s="11" t="s">
        <v>13</v>
      </c>
      <c r="C303" s="9" t="s">
        <v>272</v>
      </c>
      <c r="D303" s="9" t="s">
        <v>16</v>
      </c>
      <c r="E303" s="10" t="s">
        <v>14</v>
      </c>
      <c r="F303" s="6">
        <v>0.0</v>
      </c>
      <c r="G303" s="7">
        <v>0.0</v>
      </c>
      <c r="H303" s="12">
        <v>0.0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1" t="s">
        <v>12</v>
      </c>
      <c r="B304" s="11" t="s">
        <v>13</v>
      </c>
      <c r="C304" s="9" t="s">
        <v>273</v>
      </c>
      <c r="D304" s="9" t="s">
        <v>16</v>
      </c>
      <c r="E304" s="10" t="s">
        <v>14</v>
      </c>
      <c r="F304" s="6">
        <v>0.0</v>
      </c>
      <c r="G304" s="7">
        <v>0.0</v>
      </c>
      <c r="H304" s="12">
        <v>0.0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1" t="s">
        <v>12</v>
      </c>
      <c r="B305" s="11" t="s">
        <v>13</v>
      </c>
      <c r="C305" s="9" t="s">
        <v>274</v>
      </c>
      <c r="D305" s="9" t="s">
        <v>32</v>
      </c>
      <c r="E305" s="9" t="s">
        <v>96</v>
      </c>
      <c r="F305" s="6">
        <v>850000.0</v>
      </c>
      <c r="G305" s="7">
        <v>0.0</v>
      </c>
      <c r="H305" s="12" t="str">
        <f t="array" ref="H305">XLOOKUP(C:C,Sheet3!A:A,Sheet3!B:B)</f>
        <v>#N/A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1" t="s">
        <v>12</v>
      </c>
      <c r="B306" s="11" t="s">
        <v>13</v>
      </c>
      <c r="C306" s="9" t="s">
        <v>275</v>
      </c>
      <c r="D306" s="9" t="s">
        <v>32</v>
      </c>
      <c r="E306" s="9" t="s">
        <v>49</v>
      </c>
      <c r="F306" s="6">
        <v>1850000.0</v>
      </c>
      <c r="G306" s="7">
        <v>476490.0</v>
      </c>
      <c r="H306" s="12" t="str">
        <f t="array" ref="H306">XLOOKUP(C:C,Sheet3!A:A,Sheet3!B:B)</f>
        <v>#N/A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1" t="s">
        <v>7</v>
      </c>
      <c r="B307" s="11" t="s">
        <v>13</v>
      </c>
      <c r="C307" s="9" t="s">
        <v>276</v>
      </c>
      <c r="D307" s="9" t="s">
        <v>88</v>
      </c>
      <c r="E307" s="10" t="s">
        <v>14</v>
      </c>
      <c r="F307" s="6">
        <v>0.0</v>
      </c>
      <c r="G307" s="7">
        <v>0.0</v>
      </c>
      <c r="H307" s="12" t="str">
        <f t="array" ref="H307">XLOOKUP(C:C,Sheet3!A:A,Sheet3!B:B)</f>
        <v>#N/A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1" t="s">
        <v>12</v>
      </c>
      <c r="B308" s="11" t="s">
        <v>13</v>
      </c>
      <c r="C308" s="9" t="s">
        <v>276</v>
      </c>
      <c r="D308" s="9" t="s">
        <v>88</v>
      </c>
      <c r="E308" s="10" t="s">
        <v>14</v>
      </c>
      <c r="F308" s="6">
        <v>0.0</v>
      </c>
      <c r="G308" s="7">
        <v>0.0</v>
      </c>
      <c r="H308" s="12" t="str">
        <f t="array" ref="H308">XLOOKUP(C:C,Sheet3!A:A,Sheet3!B:B)</f>
        <v>#N/A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1" t="s">
        <v>12</v>
      </c>
      <c r="B309" s="11" t="s">
        <v>13</v>
      </c>
      <c r="C309" s="9" t="s">
        <v>277</v>
      </c>
      <c r="D309" s="9" t="s">
        <v>88</v>
      </c>
      <c r="E309" s="10" t="s">
        <v>14</v>
      </c>
      <c r="F309" s="6">
        <v>0.0</v>
      </c>
      <c r="G309" s="7">
        <v>-2.8262714E7</v>
      </c>
      <c r="H309" s="12" t="str">
        <f t="array" ref="H309">XLOOKUP(C:C,Sheet3!A:A,Sheet3!B:B)</f>
        <v>#N/A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1" t="s">
        <v>12</v>
      </c>
      <c r="B310" s="11" t="s">
        <v>13</v>
      </c>
      <c r="C310" s="9" t="s">
        <v>278</v>
      </c>
      <c r="D310" s="9" t="s">
        <v>16</v>
      </c>
      <c r="E310" s="10" t="s">
        <v>14</v>
      </c>
      <c r="F310" s="6">
        <v>26000.0</v>
      </c>
      <c r="G310" s="7">
        <v>0.0</v>
      </c>
      <c r="H310" s="12" t="str">
        <f t="array" ref="H310">XLOOKUP(C:C,Sheet3!A:A,Sheet3!B:B)</f>
        <v>#N/A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1" t="s">
        <v>7</v>
      </c>
      <c r="B311" s="11" t="s">
        <v>13</v>
      </c>
      <c r="C311" s="9" t="s">
        <v>279</v>
      </c>
      <c r="D311" s="9" t="s">
        <v>19</v>
      </c>
      <c r="E311" s="9" t="s">
        <v>144</v>
      </c>
      <c r="F311" s="6">
        <v>830000.0</v>
      </c>
      <c r="G311" s="7">
        <v>0.0</v>
      </c>
      <c r="H311" s="12" t="str">
        <f t="array" ref="H311">XLOOKUP(C:C,Sheet3!A:A,Sheet3!B:B)</f>
        <v>#N/A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1" t="s">
        <v>12</v>
      </c>
      <c r="B312" s="11" t="s">
        <v>13</v>
      </c>
      <c r="C312" s="9" t="s">
        <v>279</v>
      </c>
      <c r="D312" s="9" t="s">
        <v>19</v>
      </c>
      <c r="E312" s="9" t="s">
        <v>49</v>
      </c>
      <c r="F312" s="6">
        <v>830000.0</v>
      </c>
      <c r="G312" s="7">
        <v>97551.0</v>
      </c>
      <c r="H312" s="12" t="str">
        <f t="array" ref="H312">XLOOKUP(C:C,Sheet3!A:A,Sheet3!B:B)</f>
        <v>#N/A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1" t="s">
        <v>12</v>
      </c>
      <c r="B313" s="11" t="s">
        <v>13</v>
      </c>
      <c r="C313" s="9" t="s">
        <v>280</v>
      </c>
      <c r="D313" s="9" t="s">
        <v>16</v>
      </c>
      <c r="E313" s="10" t="s">
        <v>14</v>
      </c>
      <c r="F313" s="6">
        <v>0.0</v>
      </c>
      <c r="G313" s="7">
        <v>0.0</v>
      </c>
      <c r="H313" s="12">
        <v>0.0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1" t="s">
        <v>7</v>
      </c>
      <c r="B314" s="11" t="s">
        <v>13</v>
      </c>
      <c r="C314" s="9" t="s">
        <v>281</v>
      </c>
      <c r="D314" s="9" t="s">
        <v>32</v>
      </c>
      <c r="E314" s="9" t="s">
        <v>23</v>
      </c>
      <c r="F314" s="6">
        <v>1600000.0</v>
      </c>
      <c r="G314" s="7">
        <v>0.0</v>
      </c>
      <c r="H314" s="12">
        <v>0.0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1" t="s">
        <v>12</v>
      </c>
      <c r="B315" s="11" t="s">
        <v>13</v>
      </c>
      <c r="C315" s="9" t="s">
        <v>281</v>
      </c>
      <c r="D315" s="9" t="s">
        <v>32</v>
      </c>
      <c r="E315" s="9" t="s">
        <v>17</v>
      </c>
      <c r="F315" s="6">
        <v>1600000.0</v>
      </c>
      <c r="G315" s="7">
        <v>212144.0</v>
      </c>
      <c r="H315" s="12">
        <v>0.0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1" t="s">
        <v>12</v>
      </c>
      <c r="B316" s="11" t="s">
        <v>13</v>
      </c>
      <c r="C316" s="9" t="s">
        <v>282</v>
      </c>
      <c r="D316" s="9" t="s">
        <v>16</v>
      </c>
      <c r="E316" s="10" t="s">
        <v>14</v>
      </c>
      <c r="F316" s="6">
        <v>0.0</v>
      </c>
      <c r="G316" s="7">
        <v>0.0</v>
      </c>
      <c r="H316" s="12">
        <v>0.0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1" t="s">
        <v>12</v>
      </c>
      <c r="B317" s="11" t="s">
        <v>13</v>
      </c>
      <c r="C317" s="9" t="s">
        <v>283</v>
      </c>
      <c r="D317" s="9" t="s">
        <v>16</v>
      </c>
      <c r="E317" s="10" t="s">
        <v>14</v>
      </c>
      <c r="F317" s="6">
        <v>0.0</v>
      </c>
      <c r="G317" s="7">
        <v>0.0</v>
      </c>
      <c r="H317" s="12">
        <v>0.0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1" t="s">
        <v>12</v>
      </c>
      <c r="B318" s="11" t="s">
        <v>8</v>
      </c>
      <c r="C318" s="9" t="s">
        <v>284</v>
      </c>
      <c r="D318" s="9" t="s">
        <v>48</v>
      </c>
      <c r="E318" s="10" t="s">
        <v>14</v>
      </c>
      <c r="F318" s="6">
        <v>1.0</v>
      </c>
      <c r="G318" s="7">
        <v>-413.0</v>
      </c>
      <c r="H318" s="12" t="str">
        <f t="array" ref="H318">XLOOKUP(C:C,Sheet3!A:A,Sheet3!B:B)</f>
        <v>#N/A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1" t="s">
        <v>12</v>
      </c>
      <c r="B319" s="11" t="s">
        <v>13</v>
      </c>
      <c r="C319" s="9" t="s">
        <v>285</v>
      </c>
      <c r="D319" s="9" t="s">
        <v>16</v>
      </c>
      <c r="E319" s="10" t="s">
        <v>14</v>
      </c>
      <c r="F319" s="6">
        <v>0.0</v>
      </c>
      <c r="G319" s="7">
        <v>0.0</v>
      </c>
      <c r="H319" s="12">
        <v>0.0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1" t="s">
        <v>7</v>
      </c>
      <c r="B320" s="11" t="s">
        <v>8</v>
      </c>
      <c r="C320" s="9" t="s">
        <v>286</v>
      </c>
      <c r="D320" s="9" t="s">
        <v>10</v>
      </c>
      <c r="E320" s="9" t="s">
        <v>49</v>
      </c>
      <c r="F320" s="6">
        <v>0.0</v>
      </c>
      <c r="G320" s="7">
        <v>0.0</v>
      </c>
      <c r="H320" s="12" t="str">
        <f t="array" ref="H320">XLOOKUP(C:C,Sheet3!A:A,Sheet3!B:B)</f>
        <v>#N/A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1" t="s">
        <v>12</v>
      </c>
      <c r="B321" s="11" t="s">
        <v>8</v>
      </c>
      <c r="C321" s="9" t="s">
        <v>286</v>
      </c>
      <c r="D321" s="9" t="s">
        <v>10</v>
      </c>
      <c r="E321" s="9" t="s">
        <v>49</v>
      </c>
      <c r="F321" s="6">
        <v>154885.0</v>
      </c>
      <c r="G321" s="7">
        <v>188333.0</v>
      </c>
      <c r="H321" s="12" t="str">
        <f t="array" ref="H321">XLOOKUP(C:C,Sheet3!A:A,Sheet3!B:B)</f>
        <v>#N/A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1" t="s">
        <v>12</v>
      </c>
      <c r="B322" s="11" t="s">
        <v>13</v>
      </c>
      <c r="C322" s="9" t="s">
        <v>287</v>
      </c>
      <c r="D322" s="9" t="s">
        <v>16</v>
      </c>
      <c r="E322" s="10" t="s">
        <v>14</v>
      </c>
      <c r="F322" s="6">
        <v>100000.0</v>
      </c>
      <c r="G322" s="7">
        <v>0.0</v>
      </c>
      <c r="H322" s="12">
        <v>0.0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1" t="s">
        <v>7</v>
      </c>
      <c r="B323" s="11" t="s">
        <v>8</v>
      </c>
      <c r="C323" s="9" t="s">
        <v>288</v>
      </c>
      <c r="D323" s="9" t="s">
        <v>48</v>
      </c>
      <c r="E323" s="10" t="s">
        <v>14</v>
      </c>
      <c r="F323" s="6">
        <v>0.0</v>
      </c>
      <c r="G323" s="7">
        <v>0.0</v>
      </c>
      <c r="H323" s="12" t="str">
        <f t="array" ref="H323">XLOOKUP(C:C,Sheet3!A:A,Sheet3!B:B)</f>
        <v>#N/A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1" t="s">
        <v>7</v>
      </c>
      <c r="B324" s="11" t="s">
        <v>13</v>
      </c>
      <c r="C324" s="9" t="s">
        <v>288</v>
      </c>
      <c r="D324" s="9" t="s">
        <v>48</v>
      </c>
      <c r="E324" s="10" t="s">
        <v>14</v>
      </c>
      <c r="F324" s="6">
        <v>0.0</v>
      </c>
      <c r="G324" s="7">
        <v>0.0</v>
      </c>
      <c r="H324" s="12" t="str">
        <f t="array" ref="H324">XLOOKUP(C:C,Sheet3!A:A,Sheet3!B:B)</f>
        <v>#N/A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1" t="s">
        <v>12</v>
      </c>
      <c r="B325" s="11" t="s">
        <v>13</v>
      </c>
      <c r="C325" s="9" t="s">
        <v>288</v>
      </c>
      <c r="D325" s="9" t="s">
        <v>48</v>
      </c>
      <c r="E325" s="10" t="s">
        <v>14</v>
      </c>
      <c r="F325" s="6">
        <v>0.0</v>
      </c>
      <c r="G325" s="7">
        <v>0.0</v>
      </c>
      <c r="H325" s="12" t="str">
        <f t="array" ref="H325">XLOOKUP(C:C,Sheet3!A:A,Sheet3!B:B)</f>
        <v>#N/A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1" t="s">
        <v>12</v>
      </c>
      <c r="B326" s="11" t="s">
        <v>8</v>
      </c>
      <c r="C326" s="9" t="s">
        <v>288</v>
      </c>
      <c r="D326" s="9" t="s">
        <v>48</v>
      </c>
      <c r="E326" s="9" t="s">
        <v>49</v>
      </c>
      <c r="F326" s="6">
        <v>0.0</v>
      </c>
      <c r="G326" s="7">
        <v>0.0</v>
      </c>
      <c r="H326" s="12" t="str">
        <f t="array" ref="H326">XLOOKUP(C:C,Sheet3!A:A,Sheet3!B:B)</f>
        <v>#N/A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1" t="s">
        <v>12</v>
      </c>
      <c r="B327" s="11" t="s">
        <v>13</v>
      </c>
      <c r="C327" s="9" t="s">
        <v>289</v>
      </c>
      <c r="D327" s="9" t="s">
        <v>16</v>
      </c>
      <c r="E327" s="10" t="s">
        <v>14</v>
      </c>
      <c r="F327" s="6">
        <v>0.0</v>
      </c>
      <c r="G327" s="7">
        <v>0.0</v>
      </c>
      <c r="H327" s="12">
        <v>0.0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1" t="s">
        <v>12</v>
      </c>
      <c r="B328" s="11" t="s">
        <v>13</v>
      </c>
      <c r="C328" s="9" t="s">
        <v>290</v>
      </c>
      <c r="D328" s="9" t="s">
        <v>16</v>
      </c>
      <c r="E328" s="10" t="s">
        <v>14</v>
      </c>
      <c r="F328" s="6">
        <v>0.0</v>
      </c>
      <c r="G328" s="7">
        <v>0.0</v>
      </c>
      <c r="H328" s="12">
        <v>0.0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1" t="s">
        <v>7</v>
      </c>
      <c r="B329" s="11" t="s">
        <v>8</v>
      </c>
      <c r="C329" s="9" t="s">
        <v>291</v>
      </c>
      <c r="D329" s="9" t="s">
        <v>48</v>
      </c>
      <c r="E329" s="9" t="s">
        <v>11</v>
      </c>
      <c r="F329" s="6">
        <v>219873.0</v>
      </c>
      <c r="G329" s="7">
        <v>0.0</v>
      </c>
      <c r="H329" s="12" t="str">
        <f t="array" ref="H329">XLOOKUP(C:C,Sheet3!A:A,Sheet3!B:B)</f>
        <v>#N/A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1" t="s">
        <v>12</v>
      </c>
      <c r="B330" s="11" t="s">
        <v>8</v>
      </c>
      <c r="C330" s="9" t="s">
        <v>291</v>
      </c>
      <c r="D330" s="9" t="s">
        <v>48</v>
      </c>
      <c r="E330" s="9" t="s">
        <v>11</v>
      </c>
      <c r="F330" s="6">
        <v>1165255.0</v>
      </c>
      <c r="G330" s="7">
        <v>320960.0</v>
      </c>
      <c r="H330" s="12" t="str">
        <f t="array" ref="H330">XLOOKUP(C:C,Sheet3!A:A,Sheet3!B:B)</f>
        <v>#N/A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1" t="s">
        <v>12</v>
      </c>
      <c r="B331" s="11" t="s">
        <v>13</v>
      </c>
      <c r="C331" s="9" t="s">
        <v>292</v>
      </c>
      <c r="D331" s="9" t="s">
        <v>16</v>
      </c>
      <c r="E331" s="10" t="s">
        <v>14</v>
      </c>
      <c r="F331" s="6">
        <v>705000.0</v>
      </c>
      <c r="G331" s="7">
        <v>3107565.0</v>
      </c>
      <c r="H331" s="12" t="str">
        <f t="array" ref="H331">XLOOKUP(C:C,Sheet3!A:A,Sheet3!B:B)</f>
        <v>#N/A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1" t="s">
        <v>12</v>
      </c>
      <c r="B332" s="11" t="s">
        <v>13</v>
      </c>
      <c r="C332" s="9" t="s">
        <v>293</v>
      </c>
      <c r="D332" s="9" t="s">
        <v>16</v>
      </c>
      <c r="E332" s="10" t="s">
        <v>14</v>
      </c>
      <c r="F332" s="6">
        <v>0.0</v>
      </c>
      <c r="G332" s="7">
        <v>0.0</v>
      </c>
      <c r="H332" s="12">
        <v>0.0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1" t="s">
        <v>12</v>
      </c>
      <c r="B333" s="11" t="s">
        <v>13</v>
      </c>
      <c r="C333" s="9" t="s">
        <v>294</v>
      </c>
      <c r="D333" s="9" t="s">
        <v>16</v>
      </c>
      <c r="E333" s="10" t="s">
        <v>14</v>
      </c>
      <c r="F333" s="6">
        <v>0.0</v>
      </c>
      <c r="G333" s="7">
        <v>0.0</v>
      </c>
      <c r="H333" s="12">
        <v>0.0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1" t="s">
        <v>12</v>
      </c>
      <c r="B334" s="11" t="s">
        <v>13</v>
      </c>
      <c r="C334" s="9" t="s">
        <v>295</v>
      </c>
      <c r="D334" s="9" t="s">
        <v>16</v>
      </c>
      <c r="E334" s="10" t="s">
        <v>14</v>
      </c>
      <c r="F334" s="6">
        <v>0.0</v>
      </c>
      <c r="G334" s="7">
        <v>0.0</v>
      </c>
      <c r="H334" s="12">
        <v>0.0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1" t="s">
        <v>12</v>
      </c>
      <c r="B335" s="11" t="s">
        <v>13</v>
      </c>
      <c r="C335" s="9" t="s">
        <v>296</v>
      </c>
      <c r="D335" s="9" t="s">
        <v>16</v>
      </c>
      <c r="E335" s="10" t="s">
        <v>14</v>
      </c>
      <c r="F335" s="6">
        <v>0.0</v>
      </c>
      <c r="G335" s="7">
        <v>0.0</v>
      </c>
      <c r="H335" s="12">
        <v>0.0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1" t="s">
        <v>12</v>
      </c>
      <c r="B336" s="11" t="s">
        <v>13</v>
      </c>
      <c r="C336" s="9" t="s">
        <v>297</v>
      </c>
      <c r="D336" s="9" t="s">
        <v>16</v>
      </c>
      <c r="E336" s="10" t="s">
        <v>14</v>
      </c>
      <c r="F336" s="6">
        <v>66000.0</v>
      </c>
      <c r="G336" s="7">
        <v>156616.0</v>
      </c>
      <c r="H336" s="12" t="str">
        <f t="array" ref="H336">XLOOKUP(C:C,Sheet3!A:A,Sheet3!B:B)</f>
        <v>#N/A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1" t="s">
        <v>7</v>
      </c>
      <c r="B337" s="11" t="s">
        <v>8</v>
      </c>
      <c r="C337" s="9" t="s">
        <v>298</v>
      </c>
      <c r="D337" s="9" t="s">
        <v>10</v>
      </c>
      <c r="E337" s="10" t="s">
        <v>14</v>
      </c>
      <c r="F337" s="6">
        <v>0.0</v>
      </c>
      <c r="G337" s="7">
        <v>0.0</v>
      </c>
      <c r="H337" s="12" t="str">
        <f t="array" ref="H337">XLOOKUP(C:C,Sheet3!A:A,Sheet3!B:B)</f>
        <v>#N/A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1" t="s">
        <v>12</v>
      </c>
      <c r="B338" s="11" t="s">
        <v>13</v>
      </c>
      <c r="C338" s="9" t="s">
        <v>298</v>
      </c>
      <c r="D338" s="9" t="s">
        <v>10</v>
      </c>
      <c r="E338" s="10" t="s">
        <v>14</v>
      </c>
      <c r="F338" s="6">
        <v>1263000.0</v>
      </c>
      <c r="G338" s="7">
        <v>8960.0</v>
      </c>
      <c r="H338" s="12" t="str">
        <f t="array" ref="H338">XLOOKUP(C:C,Sheet3!A:A,Sheet3!B:B)</f>
        <v>#N/A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1" t="s">
        <v>12</v>
      </c>
      <c r="B339" s="11" t="s">
        <v>8</v>
      </c>
      <c r="C339" s="9" t="s">
        <v>298</v>
      </c>
      <c r="D339" s="9" t="s">
        <v>10</v>
      </c>
      <c r="E339" s="10" t="s">
        <v>14</v>
      </c>
      <c r="F339" s="6">
        <v>770000.0</v>
      </c>
      <c r="G339" s="7">
        <v>0.0</v>
      </c>
      <c r="H339" s="12" t="str">
        <f t="array" ref="H339">XLOOKUP(C:C,Sheet3!A:A,Sheet3!B:B)</f>
        <v>#N/A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1" t="s">
        <v>12</v>
      </c>
      <c r="B340" s="11" t="s">
        <v>13</v>
      </c>
      <c r="C340" s="9" t="s">
        <v>299</v>
      </c>
      <c r="D340" s="9" t="s">
        <v>16</v>
      </c>
      <c r="E340" s="10" t="s">
        <v>14</v>
      </c>
      <c r="F340" s="6">
        <v>0.0</v>
      </c>
      <c r="G340" s="7">
        <v>0.0</v>
      </c>
      <c r="H340" s="12">
        <v>0.0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1" t="s">
        <v>12</v>
      </c>
      <c r="B341" s="11" t="s">
        <v>13</v>
      </c>
      <c r="C341" s="9" t="s">
        <v>300</v>
      </c>
      <c r="D341" s="9" t="s">
        <v>16</v>
      </c>
      <c r="E341" s="10" t="s">
        <v>14</v>
      </c>
      <c r="F341" s="6">
        <v>0.0</v>
      </c>
      <c r="G341" s="7">
        <v>0.0</v>
      </c>
      <c r="H341" s="12">
        <v>0.0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1" t="s">
        <v>12</v>
      </c>
      <c r="B342" s="11" t="s">
        <v>13</v>
      </c>
      <c r="C342" s="9" t="s">
        <v>301</v>
      </c>
      <c r="D342" s="9" t="s">
        <v>16</v>
      </c>
      <c r="E342" s="9" t="s">
        <v>49</v>
      </c>
      <c r="F342" s="6">
        <v>0.0</v>
      </c>
      <c r="G342" s="7">
        <v>0.0</v>
      </c>
      <c r="H342" s="12">
        <v>0.0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1" t="s">
        <v>12</v>
      </c>
      <c r="B343" s="11" t="s">
        <v>13</v>
      </c>
      <c r="C343" s="9" t="s">
        <v>302</v>
      </c>
      <c r="D343" s="9" t="s">
        <v>88</v>
      </c>
      <c r="E343" s="10" t="s">
        <v>14</v>
      </c>
      <c r="F343" s="6">
        <v>1000000.0</v>
      </c>
      <c r="G343" s="7">
        <v>228390.0</v>
      </c>
      <c r="H343" s="12" t="str">
        <f t="array" ref="H343">XLOOKUP(C:C,Sheet3!A:A,Sheet3!B:B)</f>
        <v>#N/A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1" t="s">
        <v>12</v>
      </c>
      <c r="B344" s="11" t="s">
        <v>13</v>
      </c>
      <c r="C344" s="9" t="s">
        <v>303</v>
      </c>
      <c r="D344" s="9" t="s">
        <v>88</v>
      </c>
      <c r="E344" s="10" t="s">
        <v>14</v>
      </c>
      <c r="F344" s="6">
        <v>0.0</v>
      </c>
      <c r="G344" s="7">
        <v>83322.0</v>
      </c>
      <c r="H344" s="12" t="str">
        <f t="array" ref="H344">XLOOKUP(C:C,Sheet3!A:A,Sheet3!B:B)</f>
        <v>#N/A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1" t="s">
        <v>12</v>
      </c>
      <c r="B345" s="11" t="s">
        <v>13</v>
      </c>
      <c r="C345" s="9" t="s">
        <v>304</v>
      </c>
      <c r="D345" s="9" t="s">
        <v>16</v>
      </c>
      <c r="E345" s="10" t="s">
        <v>14</v>
      </c>
      <c r="F345" s="6">
        <v>0.0</v>
      </c>
      <c r="G345" s="7">
        <v>0.0</v>
      </c>
      <c r="H345" s="12">
        <v>0.0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1" t="s">
        <v>12</v>
      </c>
      <c r="B346" s="11" t="s">
        <v>13</v>
      </c>
      <c r="C346" s="9" t="s">
        <v>305</v>
      </c>
      <c r="D346" s="9" t="s">
        <v>16</v>
      </c>
      <c r="E346" s="10" t="s">
        <v>14</v>
      </c>
      <c r="F346" s="6">
        <v>0.0</v>
      </c>
      <c r="G346" s="7">
        <v>0.0</v>
      </c>
      <c r="H346" s="12">
        <v>0.0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1" t="s">
        <v>12</v>
      </c>
      <c r="B347" s="11" t="s">
        <v>13</v>
      </c>
      <c r="C347" s="9" t="s">
        <v>306</v>
      </c>
      <c r="D347" s="9" t="s">
        <v>16</v>
      </c>
      <c r="E347" s="10" t="s">
        <v>14</v>
      </c>
      <c r="F347" s="6">
        <v>0.0</v>
      </c>
      <c r="G347" s="7">
        <v>947000.0</v>
      </c>
      <c r="H347" s="12" t="str">
        <f t="array" ref="H347">XLOOKUP(C:C,Sheet3!A:A,Sheet3!B:B)</f>
        <v>#N/A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1" t="s">
        <v>12</v>
      </c>
      <c r="B348" s="11" t="s">
        <v>8</v>
      </c>
      <c r="C348" s="9" t="s">
        <v>307</v>
      </c>
      <c r="D348" s="9" t="s">
        <v>48</v>
      </c>
      <c r="E348" s="9" t="s">
        <v>17</v>
      </c>
      <c r="F348" s="6">
        <v>1350000.0</v>
      </c>
      <c r="G348" s="7">
        <v>446960.0</v>
      </c>
      <c r="H348" s="12" t="str">
        <f t="array" ref="H348">XLOOKUP(C:C,Sheet3!A:A,Sheet3!B:B)</f>
        <v>#N/A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1" t="s">
        <v>12</v>
      </c>
      <c r="B349" s="11" t="s">
        <v>13</v>
      </c>
      <c r="C349" s="9" t="s">
        <v>308</v>
      </c>
      <c r="D349" s="9" t="s">
        <v>48</v>
      </c>
      <c r="E349" s="10" t="s">
        <v>14</v>
      </c>
      <c r="F349" s="6">
        <v>0.0</v>
      </c>
      <c r="G349" s="7">
        <v>3570001.0</v>
      </c>
      <c r="H349" s="12" t="str">
        <f t="array" ref="H349">XLOOKUP(C:C,Sheet3!A:A,Sheet3!B:B)</f>
        <v>#N/A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1" t="s">
        <v>7</v>
      </c>
      <c r="B350" s="11" t="s">
        <v>13</v>
      </c>
      <c r="C350" s="9" t="s">
        <v>309</v>
      </c>
      <c r="D350" s="9" t="s">
        <v>37</v>
      </c>
      <c r="E350" s="9" t="s">
        <v>104</v>
      </c>
      <c r="F350" s="6">
        <v>1.0E7</v>
      </c>
      <c r="G350" s="7">
        <v>0.0</v>
      </c>
      <c r="H350" s="12" t="str">
        <f t="array" ref="H350">XLOOKUP(C:C,Sheet3!A:A,Sheet3!B:B)</f>
        <v>#N/A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1" t="s">
        <v>12</v>
      </c>
      <c r="B351" s="11" t="s">
        <v>13</v>
      </c>
      <c r="C351" s="9" t="s">
        <v>309</v>
      </c>
      <c r="D351" s="9" t="s">
        <v>37</v>
      </c>
      <c r="E351" s="9" t="s">
        <v>49</v>
      </c>
      <c r="F351" s="6">
        <v>1.0E7</v>
      </c>
      <c r="G351" s="7">
        <v>3389556.0</v>
      </c>
      <c r="H351" s="12" t="str">
        <f t="array" ref="H351">XLOOKUP(C:C,Sheet3!A:A,Sheet3!B:B)</f>
        <v>#N/A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1" t="s">
        <v>12</v>
      </c>
      <c r="B352" s="11" t="s">
        <v>13</v>
      </c>
      <c r="C352" s="9" t="s">
        <v>310</v>
      </c>
      <c r="D352" s="9" t="s">
        <v>16</v>
      </c>
      <c r="E352" s="10" t="s">
        <v>14</v>
      </c>
      <c r="F352" s="6">
        <v>0.0</v>
      </c>
      <c r="G352" s="7">
        <v>188873.0</v>
      </c>
      <c r="H352" s="12">
        <v>0.0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1" t="s">
        <v>12</v>
      </c>
      <c r="B353" s="11" t="s">
        <v>13</v>
      </c>
      <c r="C353" s="9" t="s">
        <v>311</v>
      </c>
      <c r="D353" s="9" t="s">
        <v>16</v>
      </c>
      <c r="E353" s="10" t="s">
        <v>14</v>
      </c>
      <c r="F353" s="6">
        <v>0.0</v>
      </c>
      <c r="G353" s="7">
        <v>2430000.0</v>
      </c>
      <c r="H353" s="12" t="str">
        <f t="array" ref="H353">XLOOKUP(C:C,Sheet3!A:A,Sheet3!B:B)</f>
        <v>#N/A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1" t="s">
        <v>12</v>
      </c>
      <c r="B354" s="11" t="s">
        <v>13</v>
      </c>
      <c r="C354" s="9" t="s">
        <v>312</v>
      </c>
      <c r="D354" s="9" t="s">
        <v>16</v>
      </c>
      <c r="E354" s="10" t="s">
        <v>14</v>
      </c>
      <c r="F354" s="6">
        <v>0.0</v>
      </c>
      <c r="G354" s="7">
        <v>0.0</v>
      </c>
      <c r="H354" s="12">
        <v>0.0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1" t="s">
        <v>12</v>
      </c>
      <c r="B355" s="11" t="s">
        <v>13</v>
      </c>
      <c r="C355" s="9" t="s">
        <v>313</v>
      </c>
      <c r="D355" s="9" t="s">
        <v>16</v>
      </c>
      <c r="E355" s="10" t="s">
        <v>14</v>
      </c>
      <c r="F355" s="6">
        <v>0.0</v>
      </c>
      <c r="G355" s="7">
        <v>0.0</v>
      </c>
      <c r="H355" s="12" t="str">
        <f t="array" ref="H355">XLOOKUP(C:C,Sheet3!A:A,Sheet3!B:B)</f>
        <v>#N/A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1" t="s">
        <v>7</v>
      </c>
      <c r="B356" s="11" t="s">
        <v>13</v>
      </c>
      <c r="C356" s="9" t="s">
        <v>314</v>
      </c>
      <c r="D356" s="9" t="s">
        <v>16</v>
      </c>
      <c r="E356" s="9" t="s">
        <v>49</v>
      </c>
      <c r="F356" s="6">
        <v>50000.0</v>
      </c>
      <c r="G356" s="7">
        <v>0.0</v>
      </c>
      <c r="H356" s="12" t="str">
        <f t="array" ref="H356">XLOOKUP(C:C,Sheet3!A:A,Sheet3!B:B)</f>
        <v>#N/A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1" t="s">
        <v>12</v>
      </c>
      <c r="B357" s="11" t="s">
        <v>13</v>
      </c>
      <c r="C357" s="9" t="s">
        <v>314</v>
      </c>
      <c r="D357" s="9" t="s">
        <v>16</v>
      </c>
      <c r="E357" s="9" t="s">
        <v>49</v>
      </c>
      <c r="F357" s="6">
        <v>124000.0</v>
      </c>
      <c r="G357" s="7">
        <v>28379.0</v>
      </c>
      <c r="H357" s="12" t="str">
        <f t="array" ref="H357">XLOOKUP(C:C,Sheet3!A:A,Sheet3!B:B)</f>
        <v>#N/A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1" t="s">
        <v>7</v>
      </c>
      <c r="B358" s="11" t="s">
        <v>13</v>
      </c>
      <c r="C358" s="9" t="s">
        <v>315</v>
      </c>
      <c r="D358" s="9" t="s">
        <v>32</v>
      </c>
      <c r="E358" s="9" t="s">
        <v>144</v>
      </c>
      <c r="F358" s="6">
        <v>1000000.0</v>
      </c>
      <c r="G358" s="7">
        <v>0.0</v>
      </c>
      <c r="H358" s="12" t="str">
        <f t="array" ref="H358">XLOOKUP(C:C,Sheet3!A:A,Sheet3!B:B)</f>
        <v>#N/A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1" t="s">
        <v>12</v>
      </c>
      <c r="B359" s="11" t="s">
        <v>13</v>
      </c>
      <c r="C359" s="9" t="s">
        <v>315</v>
      </c>
      <c r="D359" s="9" t="s">
        <v>32</v>
      </c>
      <c r="E359" s="9" t="s">
        <v>49</v>
      </c>
      <c r="F359" s="6">
        <v>1000000.0</v>
      </c>
      <c r="G359" s="7">
        <v>372791.0</v>
      </c>
      <c r="H359" s="12" t="str">
        <f t="array" ref="H359">XLOOKUP(C:C,Sheet3!A:A,Sheet3!B:B)</f>
        <v>#N/A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1" t="s">
        <v>12</v>
      </c>
      <c r="B360" s="11" t="s">
        <v>13</v>
      </c>
      <c r="C360" s="9" t="s">
        <v>316</v>
      </c>
      <c r="D360" s="9" t="s">
        <v>16</v>
      </c>
      <c r="E360" s="10" t="s">
        <v>14</v>
      </c>
      <c r="F360" s="6">
        <v>0.0</v>
      </c>
      <c r="G360" s="7">
        <v>0.0</v>
      </c>
      <c r="H360" s="12">
        <v>0.0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1" t="s">
        <v>7</v>
      </c>
      <c r="B361" s="11" t="s">
        <v>13</v>
      </c>
      <c r="C361" s="9" t="s">
        <v>317</v>
      </c>
      <c r="D361" s="9" t="s">
        <v>32</v>
      </c>
      <c r="E361" s="9" t="s">
        <v>49</v>
      </c>
      <c r="F361" s="6">
        <v>20000.0</v>
      </c>
      <c r="G361" s="7">
        <v>0.0</v>
      </c>
      <c r="H361" s="12" t="str">
        <f t="array" ref="H361">XLOOKUP(C:C,Sheet3!A:A,Sheet3!B:B)</f>
        <v>#N/A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1" t="s">
        <v>12</v>
      </c>
      <c r="B362" s="11" t="s">
        <v>13</v>
      </c>
      <c r="C362" s="9" t="s">
        <v>317</v>
      </c>
      <c r="D362" s="9" t="s">
        <v>32</v>
      </c>
      <c r="E362" s="10" t="s">
        <v>14</v>
      </c>
      <c r="F362" s="6">
        <v>60000.0</v>
      </c>
      <c r="G362" s="7">
        <v>0.0</v>
      </c>
      <c r="H362" s="12" t="str">
        <f t="array" ref="H362">XLOOKUP(C:C,Sheet3!A:A,Sheet3!B:B)</f>
        <v>#N/A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1" t="s">
        <v>12</v>
      </c>
      <c r="B363" s="11" t="s">
        <v>13</v>
      </c>
      <c r="C363" s="9" t="s">
        <v>318</v>
      </c>
      <c r="D363" s="9" t="s">
        <v>32</v>
      </c>
      <c r="E363" s="10" t="s">
        <v>14</v>
      </c>
      <c r="F363" s="6">
        <v>0.0</v>
      </c>
      <c r="G363" s="7">
        <v>0.0</v>
      </c>
      <c r="H363" s="12" t="str">
        <f t="array" ref="H363">XLOOKUP(C:C,Sheet3!A:A,Sheet3!B:B)</f>
        <v>#N/A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1" t="s">
        <v>7</v>
      </c>
      <c r="B364" s="11" t="s">
        <v>13</v>
      </c>
      <c r="C364" s="9" t="s">
        <v>319</v>
      </c>
      <c r="D364" s="9" t="s">
        <v>16</v>
      </c>
      <c r="E364" s="9" t="s">
        <v>320</v>
      </c>
      <c r="F364" s="6">
        <v>63000.0</v>
      </c>
      <c r="G364" s="7">
        <v>0.0</v>
      </c>
      <c r="H364" s="12" t="str">
        <f t="array" ref="H364">XLOOKUP(C:C,Sheet3!A:A,Sheet3!B:B)</f>
        <v>#N/A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1" t="s">
        <v>12</v>
      </c>
      <c r="B365" s="11" t="s">
        <v>13</v>
      </c>
      <c r="C365" s="9" t="s">
        <v>319</v>
      </c>
      <c r="D365" s="9" t="s">
        <v>16</v>
      </c>
      <c r="E365" s="10" t="s">
        <v>14</v>
      </c>
      <c r="F365" s="6">
        <v>63000.0</v>
      </c>
      <c r="G365" s="7">
        <v>0.0</v>
      </c>
      <c r="H365" s="12" t="str">
        <f t="array" ref="H365">XLOOKUP(C:C,Sheet3!A:A,Sheet3!B:B)</f>
        <v>#N/A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1" t="s">
        <v>12</v>
      </c>
      <c r="B366" s="11" t="s">
        <v>8</v>
      </c>
      <c r="C366" s="9" t="s">
        <v>321</v>
      </c>
      <c r="D366" s="9" t="s">
        <v>16</v>
      </c>
      <c r="E366" s="10" t="s">
        <v>14</v>
      </c>
      <c r="F366" s="6">
        <v>0.0</v>
      </c>
      <c r="G366" s="7">
        <v>0.0</v>
      </c>
      <c r="H366" s="12">
        <v>0.0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1" t="s">
        <v>12</v>
      </c>
      <c r="B367" s="11" t="s">
        <v>13</v>
      </c>
      <c r="C367" s="9" t="s">
        <v>322</v>
      </c>
      <c r="D367" s="9" t="s">
        <v>88</v>
      </c>
      <c r="E367" s="9" t="s">
        <v>17</v>
      </c>
      <c r="F367" s="6">
        <v>550000.0</v>
      </c>
      <c r="G367" s="7">
        <v>0.0</v>
      </c>
      <c r="H367" s="12" t="str">
        <f t="array" ref="H367">XLOOKUP(C:C,Sheet3!A:A,Sheet3!B:B)</f>
        <v>#N/A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1" t="s">
        <v>7</v>
      </c>
      <c r="B368" s="11" t="s">
        <v>13</v>
      </c>
      <c r="C368" s="9" t="s">
        <v>323</v>
      </c>
      <c r="D368" s="9" t="s">
        <v>32</v>
      </c>
      <c r="E368" s="9" t="s">
        <v>17</v>
      </c>
      <c r="F368" s="6">
        <v>100000.0</v>
      </c>
      <c r="G368" s="7">
        <v>0.0</v>
      </c>
      <c r="H368" s="12" t="str">
        <f t="array" ref="H368">XLOOKUP(C:C,Sheet3!A:A,Sheet3!B:B)</f>
        <v>#N/A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1" t="s">
        <v>12</v>
      </c>
      <c r="B369" s="11" t="s">
        <v>13</v>
      </c>
      <c r="C369" s="9" t="s">
        <v>323</v>
      </c>
      <c r="D369" s="9" t="s">
        <v>32</v>
      </c>
      <c r="E369" s="9" t="s">
        <v>17</v>
      </c>
      <c r="F369" s="6">
        <v>2755000.0</v>
      </c>
      <c r="G369" s="7">
        <v>544590.0</v>
      </c>
      <c r="H369" s="12" t="str">
        <f t="array" ref="H369">XLOOKUP(C:C,Sheet3!A:A,Sheet3!B:B)</f>
        <v>#N/A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1" t="s">
        <v>12</v>
      </c>
      <c r="B370" s="11" t="s">
        <v>13</v>
      </c>
      <c r="C370" s="9" t="s">
        <v>324</v>
      </c>
      <c r="D370" s="9" t="s">
        <v>16</v>
      </c>
      <c r="E370" s="10" t="s">
        <v>14</v>
      </c>
      <c r="F370" s="6">
        <v>0.0</v>
      </c>
      <c r="G370" s="7">
        <v>0.0</v>
      </c>
      <c r="H370" s="12">
        <v>0.0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1" t="s">
        <v>7</v>
      </c>
      <c r="B371" s="11" t="s">
        <v>8</v>
      </c>
      <c r="C371" s="9" t="s">
        <v>325</v>
      </c>
      <c r="D371" s="9" t="s">
        <v>48</v>
      </c>
      <c r="E371" s="10" t="s">
        <v>14</v>
      </c>
      <c r="F371" s="6">
        <v>0.0</v>
      </c>
      <c r="G371" s="7">
        <v>0.0</v>
      </c>
      <c r="H371" s="12" t="str">
        <f t="array" ref="H371">XLOOKUP(C:C,Sheet3!A:A,Sheet3!B:B)</f>
        <v>#N/A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1" t="s">
        <v>7</v>
      </c>
      <c r="B372" s="11" t="s">
        <v>13</v>
      </c>
      <c r="C372" s="9" t="s">
        <v>325</v>
      </c>
      <c r="D372" s="9" t="s">
        <v>48</v>
      </c>
      <c r="E372" s="9" t="s">
        <v>49</v>
      </c>
      <c r="F372" s="6">
        <v>3500000.0</v>
      </c>
      <c r="G372" s="7">
        <v>0.0</v>
      </c>
      <c r="H372" s="12" t="str">
        <f t="array" ref="H372">XLOOKUP(C:C,Sheet3!A:A,Sheet3!B:B)</f>
        <v>#N/A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1" t="s">
        <v>12</v>
      </c>
      <c r="B373" s="11" t="s">
        <v>13</v>
      </c>
      <c r="C373" s="9" t="s">
        <v>325</v>
      </c>
      <c r="D373" s="9" t="s">
        <v>48</v>
      </c>
      <c r="E373" s="9" t="s">
        <v>49</v>
      </c>
      <c r="F373" s="6">
        <v>7000000.0</v>
      </c>
      <c r="G373" s="7">
        <v>2646652.0</v>
      </c>
      <c r="H373" s="12" t="str">
        <f t="array" ref="H373">XLOOKUP(C:C,Sheet3!A:A,Sheet3!B:B)</f>
        <v>#N/A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1" t="s">
        <v>12</v>
      </c>
      <c r="B374" s="11" t="s">
        <v>8</v>
      </c>
      <c r="C374" s="9" t="s">
        <v>325</v>
      </c>
      <c r="D374" s="9" t="s">
        <v>48</v>
      </c>
      <c r="E374" s="10" t="s">
        <v>14</v>
      </c>
      <c r="F374" s="6">
        <v>2700000.0</v>
      </c>
      <c r="G374" s="7">
        <v>-1208500.0</v>
      </c>
      <c r="H374" s="12" t="str">
        <f t="array" ref="H374">XLOOKUP(C:C,Sheet3!A:A,Sheet3!B:B)</f>
        <v>#N/A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1" t="s">
        <v>12</v>
      </c>
      <c r="B375" s="11" t="s">
        <v>13</v>
      </c>
      <c r="C375" s="9" t="s">
        <v>326</v>
      </c>
      <c r="D375" s="9" t="s">
        <v>48</v>
      </c>
      <c r="E375" s="10" t="s">
        <v>14</v>
      </c>
      <c r="F375" s="6">
        <v>0.0</v>
      </c>
      <c r="G375" s="7">
        <v>6000000.0</v>
      </c>
      <c r="H375" s="12" t="str">
        <f t="array" ref="H375">XLOOKUP(C:C,Sheet3!A:A,Sheet3!B:B)</f>
        <v>#N/A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1" t="s">
        <v>7</v>
      </c>
      <c r="B376" s="11" t="s">
        <v>8</v>
      </c>
      <c r="C376" s="9" t="s">
        <v>327</v>
      </c>
      <c r="D376" s="9" t="s">
        <v>10</v>
      </c>
      <c r="E376" s="9" t="s">
        <v>49</v>
      </c>
      <c r="F376" s="6">
        <v>350000.0</v>
      </c>
      <c r="G376" s="7">
        <v>0.0</v>
      </c>
      <c r="H376" s="12" t="str">
        <f t="array" ref="H376">XLOOKUP(C:C,Sheet3!A:A,Sheet3!B:B)</f>
        <v>#N/A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1" t="s">
        <v>12</v>
      </c>
      <c r="B377" s="11" t="s">
        <v>8</v>
      </c>
      <c r="C377" s="9" t="s">
        <v>327</v>
      </c>
      <c r="D377" s="9" t="s">
        <v>10</v>
      </c>
      <c r="E377" s="9" t="s">
        <v>49</v>
      </c>
      <c r="F377" s="6">
        <v>450000.0</v>
      </c>
      <c r="G377" s="7">
        <v>57807.0</v>
      </c>
      <c r="H377" s="12" t="str">
        <f t="array" ref="H377">XLOOKUP(C:C,Sheet3!A:A,Sheet3!B:B)</f>
        <v>#N/A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1" t="s">
        <v>12</v>
      </c>
      <c r="B378" s="11" t="s">
        <v>13</v>
      </c>
      <c r="C378" s="9" t="s">
        <v>328</v>
      </c>
      <c r="D378" s="9" t="s">
        <v>16</v>
      </c>
      <c r="E378" s="10" t="s">
        <v>14</v>
      </c>
      <c r="F378" s="6">
        <v>0.0</v>
      </c>
      <c r="G378" s="7">
        <v>0.0</v>
      </c>
      <c r="H378" s="12">
        <v>0.0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1" t="s">
        <v>12</v>
      </c>
      <c r="B379" s="11" t="s">
        <v>13</v>
      </c>
      <c r="C379" s="9" t="s">
        <v>329</v>
      </c>
      <c r="D379" s="9" t="s">
        <v>16</v>
      </c>
      <c r="E379" s="10" t="s">
        <v>14</v>
      </c>
      <c r="F379" s="6">
        <v>0.0</v>
      </c>
      <c r="G379" s="7">
        <v>0.0</v>
      </c>
      <c r="H379" s="12">
        <v>0.0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1" t="s">
        <v>7</v>
      </c>
      <c r="B380" s="11" t="s">
        <v>13</v>
      </c>
      <c r="C380" s="9" t="s">
        <v>330</v>
      </c>
      <c r="D380" s="9" t="s">
        <v>32</v>
      </c>
      <c r="E380" s="10" t="s">
        <v>14</v>
      </c>
      <c r="F380" s="6">
        <v>10384.0</v>
      </c>
      <c r="G380" s="7">
        <v>0.0</v>
      </c>
      <c r="H380" s="12" t="str">
        <f t="array" ref="H380">XLOOKUP(C:C,Sheet3!A:A,Sheet3!B:B)</f>
        <v>#N/A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1" t="s">
        <v>12</v>
      </c>
      <c r="B381" s="11" t="s">
        <v>13</v>
      </c>
      <c r="C381" s="9" t="s">
        <v>330</v>
      </c>
      <c r="D381" s="9" t="s">
        <v>32</v>
      </c>
      <c r="E381" s="10" t="s">
        <v>14</v>
      </c>
      <c r="F381" s="6">
        <v>0.0</v>
      </c>
      <c r="G381" s="7">
        <v>0.0</v>
      </c>
      <c r="H381" s="12" t="str">
        <f t="array" ref="H381">XLOOKUP(C:C,Sheet3!A:A,Sheet3!B:B)</f>
        <v>#N/A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1" t="s">
        <v>7</v>
      </c>
      <c r="B382" s="11" t="s">
        <v>13</v>
      </c>
      <c r="C382" s="9" t="s">
        <v>331</v>
      </c>
      <c r="D382" s="9" t="s">
        <v>16</v>
      </c>
      <c r="E382" s="9" t="s">
        <v>144</v>
      </c>
      <c r="F382" s="6">
        <v>200000.0</v>
      </c>
      <c r="G382" s="7">
        <v>0.0</v>
      </c>
      <c r="H382" s="12" t="str">
        <f t="array" ref="H382">XLOOKUP(C:C,Sheet3!A:A,Sheet3!B:B)</f>
        <v>#N/A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1" t="s">
        <v>12</v>
      </c>
      <c r="B383" s="11" t="s">
        <v>13</v>
      </c>
      <c r="C383" s="9" t="s">
        <v>331</v>
      </c>
      <c r="D383" s="9" t="s">
        <v>16</v>
      </c>
      <c r="E383" s="10" t="s">
        <v>14</v>
      </c>
      <c r="F383" s="6">
        <v>200000.0</v>
      </c>
      <c r="G383" s="7">
        <v>0.0</v>
      </c>
      <c r="H383" s="12" t="str">
        <f t="array" ref="H383">XLOOKUP(C:C,Sheet3!A:A,Sheet3!B:B)</f>
        <v>#N/A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1" t="s">
        <v>12</v>
      </c>
      <c r="B384" s="11" t="s">
        <v>13</v>
      </c>
      <c r="C384" s="9" t="s">
        <v>332</v>
      </c>
      <c r="D384" s="9" t="s">
        <v>16</v>
      </c>
      <c r="E384" s="10" t="s">
        <v>14</v>
      </c>
      <c r="F384" s="6">
        <v>5000000.0</v>
      </c>
      <c r="G384" s="7">
        <v>0.0</v>
      </c>
      <c r="H384" s="12" t="str">
        <f t="array" ref="H384">XLOOKUP(C:C,Sheet3!A:A,Sheet3!B:B)</f>
        <v>#N/A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1" t="s">
        <v>7</v>
      </c>
      <c r="B385" s="11" t="s">
        <v>13</v>
      </c>
      <c r="C385" s="9" t="s">
        <v>333</v>
      </c>
      <c r="D385" s="9" t="s">
        <v>32</v>
      </c>
      <c r="E385" s="10" t="s">
        <v>14</v>
      </c>
      <c r="F385" s="6">
        <v>0.0</v>
      </c>
      <c r="G385" s="7">
        <v>0.0</v>
      </c>
      <c r="H385" s="12" t="str">
        <f t="array" ref="H385">XLOOKUP(C:C,Sheet3!A:A,Sheet3!B:B)</f>
        <v>#N/A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1" t="s">
        <v>12</v>
      </c>
      <c r="B386" s="11" t="s">
        <v>13</v>
      </c>
      <c r="C386" s="9" t="s">
        <v>333</v>
      </c>
      <c r="D386" s="9" t="s">
        <v>32</v>
      </c>
      <c r="E386" s="9" t="s">
        <v>96</v>
      </c>
      <c r="F386" s="6">
        <v>8350000.0</v>
      </c>
      <c r="G386" s="7">
        <v>2383994.0</v>
      </c>
      <c r="H386" s="12" t="str">
        <f t="array" ref="H386">XLOOKUP(C:C,Sheet3!A:A,Sheet3!B:B)</f>
        <v>#N/A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1" t="s">
        <v>12</v>
      </c>
      <c r="B387" s="11" t="s">
        <v>8</v>
      </c>
      <c r="C387" s="9" t="s">
        <v>334</v>
      </c>
      <c r="D387" s="9" t="s">
        <v>10</v>
      </c>
      <c r="E387" s="9" t="s">
        <v>49</v>
      </c>
      <c r="F387" s="6">
        <v>483800.0</v>
      </c>
      <c r="G387" s="7">
        <v>0.0</v>
      </c>
      <c r="H387" s="12" t="str">
        <f t="array" ref="H387">XLOOKUP(C:C,Sheet3!A:A,Sheet3!B:B)</f>
        <v>#N/A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1" t="s">
        <v>7</v>
      </c>
      <c r="B388" s="11" t="s">
        <v>8</v>
      </c>
      <c r="C388" s="9" t="s">
        <v>335</v>
      </c>
      <c r="D388" s="9" t="s">
        <v>19</v>
      </c>
      <c r="E388" s="10" t="s">
        <v>14</v>
      </c>
      <c r="F388" s="6">
        <v>0.0</v>
      </c>
      <c r="G388" s="7">
        <v>0.0</v>
      </c>
      <c r="H388" s="12" t="str">
        <f t="array" ref="H388">XLOOKUP(C:C,Sheet3!A:A,Sheet3!B:B)</f>
        <v>#N/A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1" t="s">
        <v>7</v>
      </c>
      <c r="B389" s="11" t="s">
        <v>13</v>
      </c>
      <c r="C389" s="9" t="s">
        <v>335</v>
      </c>
      <c r="D389" s="9" t="s">
        <v>19</v>
      </c>
      <c r="E389" s="9" t="s">
        <v>33</v>
      </c>
      <c r="F389" s="6">
        <v>100000.0</v>
      </c>
      <c r="G389" s="7">
        <v>0.0</v>
      </c>
      <c r="H389" s="12" t="str">
        <f t="array" ref="H389">XLOOKUP(C:C,Sheet3!A:A,Sheet3!B:B)</f>
        <v>#N/A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1" t="s">
        <v>12</v>
      </c>
      <c r="B390" s="11" t="s">
        <v>13</v>
      </c>
      <c r="C390" s="9" t="s">
        <v>335</v>
      </c>
      <c r="D390" s="9" t="s">
        <v>19</v>
      </c>
      <c r="E390" s="9" t="s">
        <v>49</v>
      </c>
      <c r="F390" s="6">
        <v>1100000.0</v>
      </c>
      <c r="G390" s="7">
        <v>1835970.0</v>
      </c>
      <c r="H390" s="12" t="str">
        <f t="array" ref="H390">XLOOKUP(C:C,Sheet3!A:A,Sheet3!B:B)</f>
        <v>#N/A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1" t="s">
        <v>12</v>
      </c>
      <c r="B391" s="11" t="s">
        <v>8</v>
      </c>
      <c r="C391" s="9" t="s">
        <v>335</v>
      </c>
      <c r="D391" s="9" t="s">
        <v>19</v>
      </c>
      <c r="E391" s="9" t="s">
        <v>11</v>
      </c>
      <c r="F391" s="6">
        <v>1700000.0</v>
      </c>
      <c r="G391" s="7">
        <v>421059.0</v>
      </c>
      <c r="H391" s="12" t="str">
        <f t="array" ref="H391">XLOOKUP(C:C,Sheet3!A:A,Sheet3!B:B)</f>
        <v>#N/A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1" t="s">
        <v>12</v>
      </c>
      <c r="B392" s="11" t="s">
        <v>13</v>
      </c>
      <c r="C392" s="9" t="s">
        <v>336</v>
      </c>
      <c r="D392" s="9" t="s">
        <v>19</v>
      </c>
      <c r="E392" s="9" t="s">
        <v>11</v>
      </c>
      <c r="F392" s="6">
        <v>0.0</v>
      </c>
      <c r="G392" s="7">
        <v>4587500.0</v>
      </c>
      <c r="H392" s="12" t="str">
        <f t="array" ref="H392">XLOOKUP(C:C,Sheet3!A:A,Sheet3!B:B)</f>
        <v>#N/A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1" t="s">
        <v>12</v>
      </c>
      <c r="B393" s="11" t="s">
        <v>13</v>
      </c>
      <c r="C393" s="9" t="s">
        <v>337</v>
      </c>
      <c r="D393" s="9" t="s">
        <v>16</v>
      </c>
      <c r="E393" s="10" t="s">
        <v>14</v>
      </c>
      <c r="F393" s="6">
        <v>0.0</v>
      </c>
      <c r="G393" s="7">
        <v>0.0</v>
      </c>
      <c r="H393" s="12">
        <v>0.0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1" t="s">
        <v>12</v>
      </c>
      <c r="B394" s="11" t="s">
        <v>13</v>
      </c>
      <c r="C394" s="9" t="s">
        <v>338</v>
      </c>
      <c r="D394" s="9" t="s">
        <v>16</v>
      </c>
      <c r="E394" s="10" t="s">
        <v>14</v>
      </c>
      <c r="F394" s="6">
        <v>0.0</v>
      </c>
      <c r="G394" s="7">
        <v>327.0</v>
      </c>
      <c r="H394" s="12">
        <v>0.0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1" t="s">
        <v>12</v>
      </c>
      <c r="B395" s="11" t="s">
        <v>13</v>
      </c>
      <c r="C395" s="9" t="s">
        <v>339</v>
      </c>
      <c r="D395" s="9" t="s">
        <v>16</v>
      </c>
      <c r="E395" s="10" t="s">
        <v>14</v>
      </c>
      <c r="F395" s="6">
        <v>0.0</v>
      </c>
      <c r="G395" s="7">
        <v>0.0</v>
      </c>
      <c r="H395" s="12">
        <v>0.0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1" t="s">
        <v>7</v>
      </c>
      <c r="B396" s="11" t="s">
        <v>13</v>
      </c>
      <c r="C396" s="9" t="s">
        <v>340</v>
      </c>
      <c r="D396" s="9" t="s">
        <v>88</v>
      </c>
      <c r="E396" s="9" t="s">
        <v>23</v>
      </c>
      <c r="F396" s="6">
        <v>2500000.0</v>
      </c>
      <c r="G396" s="7">
        <v>0.0</v>
      </c>
      <c r="H396" s="12" t="str">
        <f t="array" ref="H396">XLOOKUP(C:C,Sheet3!A:A,Sheet3!B:B)</f>
        <v>#N/A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1" t="s">
        <v>12</v>
      </c>
      <c r="B397" s="11" t="s">
        <v>13</v>
      </c>
      <c r="C397" s="9" t="s">
        <v>340</v>
      </c>
      <c r="D397" s="9" t="s">
        <v>88</v>
      </c>
      <c r="E397" s="9" t="s">
        <v>17</v>
      </c>
      <c r="F397" s="6">
        <v>3200000.0</v>
      </c>
      <c r="G397" s="7">
        <v>669446.0</v>
      </c>
      <c r="H397" s="12" t="str">
        <f t="array" ref="H397">XLOOKUP(C:C,Sheet3!A:A,Sheet3!B:B)</f>
        <v>#N/A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1" t="s">
        <v>12</v>
      </c>
      <c r="B398" s="11" t="s">
        <v>13</v>
      </c>
      <c r="C398" s="9" t="s">
        <v>341</v>
      </c>
      <c r="D398" s="9" t="s">
        <v>88</v>
      </c>
      <c r="E398" s="10" t="s">
        <v>14</v>
      </c>
      <c r="F398" s="6">
        <v>0.0</v>
      </c>
      <c r="G398" s="7">
        <v>0.0</v>
      </c>
      <c r="H398" s="12" t="str">
        <f t="array" ref="H398">XLOOKUP(C:C,Sheet3!A:A,Sheet3!B:B)</f>
        <v>#N/A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1" t="s">
        <v>12</v>
      </c>
      <c r="B399" s="11" t="s">
        <v>13</v>
      </c>
      <c r="C399" s="9" t="s">
        <v>342</v>
      </c>
      <c r="D399" s="9" t="s">
        <v>16</v>
      </c>
      <c r="E399" s="10" t="s">
        <v>14</v>
      </c>
      <c r="F399" s="6">
        <v>0.0</v>
      </c>
      <c r="G399" s="7">
        <v>0.0</v>
      </c>
      <c r="H399" s="12">
        <v>0.0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1" t="s">
        <v>12</v>
      </c>
      <c r="B400" s="11" t="s">
        <v>8</v>
      </c>
      <c r="C400" s="9" t="s">
        <v>343</v>
      </c>
      <c r="D400" s="9" t="s">
        <v>48</v>
      </c>
      <c r="E400" s="9" t="s">
        <v>11</v>
      </c>
      <c r="F400" s="6">
        <v>3474959.0</v>
      </c>
      <c r="G400" s="7">
        <v>4985120.0</v>
      </c>
      <c r="H400" s="12" t="str">
        <f t="array" ref="H400">XLOOKUP(C:C,Sheet3!A:A,Sheet3!B:B)</f>
        <v>#N/A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1" t="s">
        <v>12</v>
      </c>
      <c r="B401" s="11" t="s">
        <v>8</v>
      </c>
      <c r="C401" s="9" t="s">
        <v>344</v>
      </c>
      <c r="D401" s="9" t="s">
        <v>48</v>
      </c>
      <c r="E401" s="10" t="s">
        <v>14</v>
      </c>
      <c r="F401" s="6">
        <v>0.0</v>
      </c>
      <c r="G401" s="7">
        <v>0.0</v>
      </c>
      <c r="H401" s="12" t="str">
        <f t="array" ref="H401">XLOOKUP(C:C,Sheet3!A:A,Sheet3!B:B)</f>
        <v>#N/A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1" t="s">
        <v>12</v>
      </c>
      <c r="B402" s="11" t="s">
        <v>13</v>
      </c>
      <c r="C402" s="9" t="s">
        <v>345</v>
      </c>
      <c r="D402" s="9" t="s">
        <v>10</v>
      </c>
      <c r="E402" s="10" t="s">
        <v>14</v>
      </c>
      <c r="F402" s="6">
        <v>0.0</v>
      </c>
      <c r="G402" s="7">
        <v>0.0</v>
      </c>
      <c r="H402" s="12" t="str">
        <f t="array" ref="H402">XLOOKUP(C:C,Sheet3!A:A,Sheet3!B:B)</f>
        <v>#N/A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1" t="s">
        <v>12</v>
      </c>
      <c r="B403" s="11" t="s">
        <v>8</v>
      </c>
      <c r="C403" s="9" t="s">
        <v>345</v>
      </c>
      <c r="D403" s="9" t="s">
        <v>10</v>
      </c>
      <c r="E403" s="9" t="s">
        <v>49</v>
      </c>
      <c r="F403" s="6">
        <v>0.0</v>
      </c>
      <c r="G403" s="7">
        <v>0.0</v>
      </c>
      <c r="H403" s="12" t="str">
        <f t="array" ref="H403">XLOOKUP(C:C,Sheet3!A:A,Sheet3!B:B)</f>
        <v>#N/A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1" t="s">
        <v>12</v>
      </c>
      <c r="B404" s="11" t="s">
        <v>13</v>
      </c>
      <c r="C404" s="9" t="s">
        <v>346</v>
      </c>
      <c r="D404" s="9" t="s">
        <v>16</v>
      </c>
      <c r="E404" s="10" t="s">
        <v>14</v>
      </c>
      <c r="F404" s="6">
        <v>0.0</v>
      </c>
      <c r="G404" s="7">
        <v>0.0</v>
      </c>
      <c r="H404" s="12">
        <v>0.0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1" t="s">
        <v>7</v>
      </c>
      <c r="B405" s="11" t="s">
        <v>8</v>
      </c>
      <c r="C405" s="9" t="s">
        <v>347</v>
      </c>
      <c r="D405" s="9" t="s">
        <v>10</v>
      </c>
      <c r="E405" s="10" t="s">
        <v>14</v>
      </c>
      <c r="F405" s="6">
        <v>0.0</v>
      </c>
      <c r="G405" s="7">
        <v>0.0</v>
      </c>
      <c r="H405" s="12" t="str">
        <f t="array" ref="H405">XLOOKUP(C:C,Sheet3!A:A,Sheet3!B:B)</f>
        <v>#N/A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1" t="s">
        <v>12</v>
      </c>
      <c r="B406" s="11" t="s">
        <v>13</v>
      </c>
      <c r="C406" s="9" t="s">
        <v>347</v>
      </c>
      <c r="D406" s="9" t="s">
        <v>10</v>
      </c>
      <c r="E406" s="9" t="s">
        <v>11</v>
      </c>
      <c r="F406" s="6">
        <v>103000.0</v>
      </c>
      <c r="G406" s="7">
        <v>0.0</v>
      </c>
      <c r="H406" s="12" t="str">
        <f t="array" ref="H406">XLOOKUP(C:C,Sheet3!A:A,Sheet3!B:B)</f>
        <v>#N/A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1" t="s">
        <v>12</v>
      </c>
      <c r="B407" s="11" t="s">
        <v>8</v>
      </c>
      <c r="C407" s="9" t="s">
        <v>347</v>
      </c>
      <c r="D407" s="9" t="s">
        <v>10</v>
      </c>
      <c r="E407" s="9" t="s">
        <v>49</v>
      </c>
      <c r="F407" s="6">
        <v>200000.0</v>
      </c>
      <c r="G407" s="7">
        <v>0.0</v>
      </c>
      <c r="H407" s="12" t="str">
        <f t="array" ref="H407">XLOOKUP(C:C,Sheet3!A:A,Sheet3!B:B)</f>
        <v>#N/A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1" t="s">
        <v>12</v>
      </c>
      <c r="B408" s="11" t="s">
        <v>13</v>
      </c>
      <c r="C408" s="9" t="s">
        <v>348</v>
      </c>
      <c r="D408" s="9" t="s">
        <v>83</v>
      </c>
      <c r="E408" s="10" t="s">
        <v>14</v>
      </c>
      <c r="F408" s="6">
        <v>0.0</v>
      </c>
      <c r="G408" s="7">
        <v>0.0</v>
      </c>
      <c r="H408" s="12" t="str">
        <f t="array" ref="H408">XLOOKUP(C:C,Sheet3!A:A,Sheet3!B:B)</f>
        <v>#N/A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1" t="s">
        <v>7</v>
      </c>
      <c r="B409" s="11" t="s">
        <v>8</v>
      </c>
      <c r="C409" s="9" t="s">
        <v>349</v>
      </c>
      <c r="D409" s="9" t="s">
        <v>16</v>
      </c>
      <c r="E409" s="10" t="s">
        <v>14</v>
      </c>
      <c r="F409" s="6">
        <v>0.0</v>
      </c>
      <c r="G409" s="7">
        <v>0.0</v>
      </c>
      <c r="H409" s="12">
        <v>0.0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1" t="s">
        <v>12</v>
      </c>
      <c r="B410" s="11" t="s">
        <v>13</v>
      </c>
      <c r="C410" s="9" t="s">
        <v>349</v>
      </c>
      <c r="D410" s="9" t="s">
        <v>16</v>
      </c>
      <c r="E410" s="10" t="s">
        <v>14</v>
      </c>
      <c r="F410" s="6">
        <v>0.0</v>
      </c>
      <c r="G410" s="7">
        <v>0.0</v>
      </c>
      <c r="H410" s="12">
        <v>0.0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1" t="s">
        <v>12</v>
      </c>
      <c r="B411" s="11" t="s">
        <v>8</v>
      </c>
      <c r="C411" s="9" t="s">
        <v>349</v>
      </c>
      <c r="D411" s="9" t="s">
        <v>16</v>
      </c>
      <c r="E411" s="10" t="s">
        <v>14</v>
      </c>
      <c r="F411" s="6">
        <v>0.0</v>
      </c>
      <c r="G411" s="7">
        <v>0.0</v>
      </c>
      <c r="H411" s="12">
        <v>0.0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1" t="s">
        <v>7</v>
      </c>
      <c r="B412" s="11" t="s">
        <v>13</v>
      </c>
      <c r="C412" s="9" t="s">
        <v>350</v>
      </c>
      <c r="D412" s="9" t="s">
        <v>88</v>
      </c>
      <c r="E412" s="9" t="s">
        <v>17</v>
      </c>
      <c r="F412" s="6">
        <v>150000.0</v>
      </c>
      <c r="G412" s="7">
        <v>0.0</v>
      </c>
      <c r="H412" s="12" t="str">
        <f t="array" ref="H412">XLOOKUP(C:C,Sheet3!A:A,Sheet3!B:B)</f>
        <v>#N/A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1" t="s">
        <v>12</v>
      </c>
      <c r="B413" s="11" t="s">
        <v>13</v>
      </c>
      <c r="C413" s="9" t="s">
        <v>350</v>
      </c>
      <c r="D413" s="9" t="s">
        <v>88</v>
      </c>
      <c r="E413" s="9" t="s">
        <v>17</v>
      </c>
      <c r="F413" s="6">
        <v>630000.0</v>
      </c>
      <c r="G413" s="7">
        <v>308275.0</v>
      </c>
      <c r="H413" s="12" t="str">
        <f t="array" ref="H413">XLOOKUP(C:C,Sheet3!A:A,Sheet3!B:B)</f>
        <v>#N/A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1" t="s">
        <v>12</v>
      </c>
      <c r="B414" s="11" t="s">
        <v>13</v>
      </c>
      <c r="C414" s="9" t="s">
        <v>351</v>
      </c>
      <c r="D414" s="9" t="s">
        <v>16</v>
      </c>
      <c r="E414" s="10" t="s">
        <v>14</v>
      </c>
      <c r="F414" s="6">
        <v>0.0</v>
      </c>
      <c r="G414" s="7">
        <v>602000.0</v>
      </c>
      <c r="H414" s="12" t="str">
        <f t="array" ref="H414">XLOOKUP(C:C,Sheet3!A:A,Sheet3!B:B)</f>
        <v>#N/A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1" t="s">
        <v>12</v>
      </c>
      <c r="B415" s="11" t="s">
        <v>13</v>
      </c>
      <c r="C415" s="9" t="s">
        <v>352</v>
      </c>
      <c r="D415" s="9" t="s">
        <v>16</v>
      </c>
      <c r="E415" s="9" t="s">
        <v>33</v>
      </c>
      <c r="F415" s="6">
        <v>0.0</v>
      </c>
      <c r="G415" s="7">
        <v>0.0</v>
      </c>
      <c r="H415" s="12">
        <v>0.0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1" t="s">
        <v>12</v>
      </c>
      <c r="B416" s="11" t="s">
        <v>13</v>
      </c>
      <c r="C416" s="9" t="s">
        <v>353</v>
      </c>
      <c r="D416" s="9" t="s">
        <v>16</v>
      </c>
      <c r="E416" s="10" t="s">
        <v>14</v>
      </c>
      <c r="F416" s="6">
        <v>0.0</v>
      </c>
      <c r="G416" s="7">
        <v>0.0</v>
      </c>
      <c r="H416" s="12">
        <v>0.0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1" t="s">
        <v>12</v>
      </c>
      <c r="B417" s="11" t="s">
        <v>13</v>
      </c>
      <c r="C417" s="9" t="s">
        <v>354</v>
      </c>
      <c r="D417" s="9" t="s">
        <v>16</v>
      </c>
      <c r="E417" s="9" t="s">
        <v>33</v>
      </c>
      <c r="F417" s="6">
        <v>0.0</v>
      </c>
      <c r="G417" s="7">
        <v>0.0</v>
      </c>
      <c r="H417" s="12" t="str">
        <f t="array" ref="H417">XLOOKUP(C:C,Sheet3!A:A,Sheet3!B:B)</f>
        <v>#N/A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1" t="s">
        <v>12</v>
      </c>
      <c r="B418" s="11" t="s">
        <v>8</v>
      </c>
      <c r="C418" s="9" t="s">
        <v>355</v>
      </c>
      <c r="D418" s="9" t="s">
        <v>10</v>
      </c>
      <c r="E418" s="9" t="s">
        <v>49</v>
      </c>
      <c r="F418" s="6">
        <v>145000.0</v>
      </c>
      <c r="G418" s="7">
        <v>98208.0</v>
      </c>
      <c r="H418" s="12" t="str">
        <f t="array" ref="H418">XLOOKUP(C:C,Sheet3!A:A,Sheet3!B:B)</f>
        <v>#N/A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1" t="s">
        <v>12</v>
      </c>
      <c r="B419" s="11" t="s">
        <v>13</v>
      </c>
      <c r="C419" s="9" t="s">
        <v>355</v>
      </c>
      <c r="D419" s="9" t="s">
        <v>10</v>
      </c>
      <c r="E419" s="10" t="s">
        <v>14</v>
      </c>
      <c r="F419" s="6">
        <v>395000.0</v>
      </c>
      <c r="G419" s="7">
        <v>0.0</v>
      </c>
      <c r="H419" s="12" t="str">
        <f t="array" ref="H419">XLOOKUP(C:C,Sheet3!A:A,Sheet3!B:B)</f>
        <v>#N/A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1" t="s">
        <v>12</v>
      </c>
      <c r="B420" s="11" t="s">
        <v>13</v>
      </c>
      <c r="C420" s="9" t="s">
        <v>356</v>
      </c>
      <c r="D420" s="9" t="s">
        <v>16</v>
      </c>
      <c r="E420" s="10" t="s">
        <v>14</v>
      </c>
      <c r="F420" s="6">
        <v>0.0</v>
      </c>
      <c r="G420" s="7">
        <v>0.0</v>
      </c>
      <c r="H420" s="12" t="str">
        <f t="array" ref="H420">XLOOKUP(C:C,Sheet3!A:A,Sheet3!B:B)</f>
        <v>#N/A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1" t="s">
        <v>12</v>
      </c>
      <c r="B421" s="11" t="s">
        <v>8</v>
      </c>
      <c r="C421" s="9" t="s">
        <v>356</v>
      </c>
      <c r="D421" s="9" t="s">
        <v>16</v>
      </c>
      <c r="E421" s="9" t="s">
        <v>49</v>
      </c>
      <c r="F421" s="6">
        <v>117175.0</v>
      </c>
      <c r="G421" s="7">
        <v>70800.0</v>
      </c>
      <c r="H421" s="12" t="str">
        <f t="array" ref="H421">XLOOKUP(C:C,Sheet3!A:A,Sheet3!B:B)</f>
        <v>#N/A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1" t="s">
        <v>12</v>
      </c>
      <c r="B422" s="11" t="s">
        <v>13</v>
      </c>
      <c r="C422" s="9" t="s">
        <v>357</v>
      </c>
      <c r="D422" s="9" t="s">
        <v>16</v>
      </c>
      <c r="E422" s="10" t="s">
        <v>14</v>
      </c>
      <c r="F422" s="6">
        <v>0.0</v>
      </c>
      <c r="G422" s="7">
        <v>0.0</v>
      </c>
      <c r="H422" s="12">
        <v>0.0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1" t="s">
        <v>12</v>
      </c>
      <c r="B423" s="11" t="s">
        <v>13</v>
      </c>
      <c r="C423" s="9" t="s">
        <v>358</v>
      </c>
      <c r="D423" s="9" t="s">
        <v>16</v>
      </c>
      <c r="E423" s="10" t="s">
        <v>14</v>
      </c>
      <c r="F423" s="6">
        <v>0.0</v>
      </c>
      <c r="G423" s="7">
        <v>0.0</v>
      </c>
      <c r="H423" s="12">
        <v>0.0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1" t="s">
        <v>12</v>
      </c>
      <c r="B424" s="11" t="s">
        <v>13</v>
      </c>
      <c r="C424" s="9" t="s">
        <v>359</v>
      </c>
      <c r="D424" s="9" t="s">
        <v>16</v>
      </c>
      <c r="E424" s="10" t="s">
        <v>14</v>
      </c>
      <c r="F424" s="6">
        <v>0.0</v>
      </c>
      <c r="G424" s="7">
        <v>0.0</v>
      </c>
      <c r="H424" s="12">
        <v>0.0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1" t="s">
        <v>12</v>
      </c>
      <c r="B425" s="11" t="s">
        <v>8</v>
      </c>
      <c r="C425" s="9" t="s">
        <v>359</v>
      </c>
      <c r="D425" s="9" t="s">
        <v>16</v>
      </c>
      <c r="E425" s="9" t="s">
        <v>49</v>
      </c>
      <c r="F425" s="6">
        <v>1.0</v>
      </c>
      <c r="G425" s="7">
        <v>0.0</v>
      </c>
      <c r="H425" s="12">
        <v>0.0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1" t="s">
        <v>7</v>
      </c>
      <c r="B426" s="11" t="s">
        <v>8</v>
      </c>
      <c r="C426" s="9" t="s">
        <v>360</v>
      </c>
      <c r="D426" s="9" t="s">
        <v>16</v>
      </c>
      <c r="E426" s="10" t="s">
        <v>14</v>
      </c>
      <c r="F426" s="6">
        <v>0.0</v>
      </c>
      <c r="G426" s="7">
        <v>0.0</v>
      </c>
      <c r="H426" s="12" t="str">
        <f t="array" ref="H426">XLOOKUP(C:C,Sheet3!A:A,Sheet3!B:B)</f>
        <v>#N/A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1" t="s">
        <v>12</v>
      </c>
      <c r="B427" s="11" t="s">
        <v>8</v>
      </c>
      <c r="C427" s="9" t="s">
        <v>360</v>
      </c>
      <c r="D427" s="9" t="s">
        <v>16</v>
      </c>
      <c r="E427" s="9" t="s">
        <v>49</v>
      </c>
      <c r="F427" s="6">
        <v>250000.0</v>
      </c>
      <c r="G427" s="7">
        <v>0.0</v>
      </c>
      <c r="H427" s="12" t="str">
        <f t="array" ref="H427">XLOOKUP(C:C,Sheet3!A:A,Sheet3!B:B)</f>
        <v>#N/A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1" t="s">
        <v>12</v>
      </c>
      <c r="B428" s="11" t="s">
        <v>13</v>
      </c>
      <c r="C428" s="9" t="s">
        <v>361</v>
      </c>
      <c r="D428" s="9" t="s">
        <v>16</v>
      </c>
      <c r="E428" s="10" t="s">
        <v>14</v>
      </c>
      <c r="F428" s="6">
        <v>0.0</v>
      </c>
      <c r="G428" s="7">
        <v>0.0</v>
      </c>
      <c r="H428" s="12" t="str">
        <f t="array" ref="H428">XLOOKUP(C:C,Sheet3!A:A,Sheet3!B:B)</f>
        <v>#N/A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1" t="s">
        <v>7</v>
      </c>
      <c r="B429" s="11" t="s">
        <v>13</v>
      </c>
      <c r="C429" s="9" t="s">
        <v>362</v>
      </c>
      <c r="D429" s="9" t="s">
        <v>48</v>
      </c>
      <c r="E429" s="10" t="s">
        <v>14</v>
      </c>
      <c r="F429" s="6">
        <v>0.0</v>
      </c>
      <c r="G429" s="7">
        <v>0.0</v>
      </c>
      <c r="H429" s="12">
        <v>0.0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1" t="s">
        <v>12</v>
      </c>
      <c r="B430" s="11" t="s">
        <v>13</v>
      </c>
      <c r="C430" s="9" t="s">
        <v>362</v>
      </c>
      <c r="D430" s="9" t="s">
        <v>48</v>
      </c>
      <c r="E430" s="10" t="s">
        <v>14</v>
      </c>
      <c r="F430" s="6">
        <v>0.0</v>
      </c>
      <c r="G430" s="7">
        <v>0.0</v>
      </c>
      <c r="H430" s="12">
        <v>0.0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1" t="s">
        <v>12</v>
      </c>
      <c r="B431" s="11" t="s">
        <v>13</v>
      </c>
      <c r="C431" s="9" t="s">
        <v>363</v>
      </c>
      <c r="D431" s="9" t="s">
        <v>16</v>
      </c>
      <c r="E431" s="10" t="s">
        <v>14</v>
      </c>
      <c r="F431" s="6">
        <v>0.0</v>
      </c>
      <c r="G431" s="7">
        <v>0.0</v>
      </c>
      <c r="H431" s="12">
        <v>0.0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1" t="s">
        <v>12</v>
      </c>
      <c r="B432" s="11" t="s">
        <v>13</v>
      </c>
      <c r="C432" s="9" t="s">
        <v>364</v>
      </c>
      <c r="D432" s="9" t="s">
        <v>16</v>
      </c>
      <c r="E432" s="10" t="s">
        <v>14</v>
      </c>
      <c r="F432" s="6">
        <v>0.0</v>
      </c>
      <c r="G432" s="7">
        <v>0.0</v>
      </c>
      <c r="H432" s="12">
        <v>0.0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1" t="s">
        <v>12</v>
      </c>
      <c r="B433" s="11" t="s">
        <v>13</v>
      </c>
      <c r="C433" s="9" t="s">
        <v>365</v>
      </c>
      <c r="D433" s="9" t="s">
        <v>16</v>
      </c>
      <c r="E433" s="10" t="s">
        <v>14</v>
      </c>
      <c r="F433" s="6">
        <v>0.0</v>
      </c>
      <c r="G433" s="7">
        <v>0.0</v>
      </c>
      <c r="H433" s="12">
        <v>0.0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1" t="s">
        <v>12</v>
      </c>
      <c r="B434" s="11" t="s">
        <v>13</v>
      </c>
      <c r="C434" s="9" t="s">
        <v>366</v>
      </c>
      <c r="D434" s="9" t="s">
        <v>16</v>
      </c>
      <c r="E434" s="10" t="s">
        <v>14</v>
      </c>
      <c r="F434" s="6">
        <v>0.0</v>
      </c>
      <c r="G434" s="7">
        <v>0.0</v>
      </c>
      <c r="H434" s="12">
        <v>0.0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1" t="s">
        <v>7</v>
      </c>
      <c r="B435" s="11" t="s">
        <v>13</v>
      </c>
      <c r="C435" s="9" t="s">
        <v>367</v>
      </c>
      <c r="D435" s="9" t="s">
        <v>32</v>
      </c>
      <c r="E435" s="9" t="s">
        <v>173</v>
      </c>
      <c r="F435" s="6">
        <v>3600000.0</v>
      </c>
      <c r="G435" s="7">
        <v>0.0</v>
      </c>
      <c r="H435" s="12" t="str">
        <f t="array" ref="H435">XLOOKUP(C:C,Sheet3!A:A,Sheet3!B:B)</f>
        <v>#N/A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1" t="s">
        <v>12</v>
      </c>
      <c r="B436" s="11" t="s">
        <v>13</v>
      </c>
      <c r="C436" s="9" t="s">
        <v>367</v>
      </c>
      <c r="D436" s="9" t="s">
        <v>32</v>
      </c>
      <c r="E436" s="9" t="s">
        <v>11</v>
      </c>
      <c r="F436" s="6">
        <v>1800000.0</v>
      </c>
      <c r="G436" s="7">
        <v>0.0</v>
      </c>
      <c r="H436" s="12" t="str">
        <f t="array" ref="H436">XLOOKUP(C:C,Sheet3!A:A,Sheet3!B:B)</f>
        <v>#N/A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1" t="s">
        <v>12</v>
      </c>
      <c r="B437" s="11" t="s">
        <v>13</v>
      </c>
      <c r="C437" s="9" t="s">
        <v>368</v>
      </c>
      <c r="D437" s="9" t="s">
        <v>16</v>
      </c>
      <c r="E437" s="10" t="s">
        <v>14</v>
      </c>
      <c r="F437" s="6">
        <v>0.0</v>
      </c>
      <c r="G437" s="7">
        <v>0.0</v>
      </c>
      <c r="H437" s="12">
        <v>0.0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1" t="s">
        <v>12</v>
      </c>
      <c r="B438" s="11" t="s">
        <v>13</v>
      </c>
      <c r="C438" s="9" t="s">
        <v>369</v>
      </c>
      <c r="D438" s="9" t="s">
        <v>16</v>
      </c>
      <c r="E438" s="9" t="s">
        <v>11</v>
      </c>
      <c r="F438" s="6">
        <v>500000.0</v>
      </c>
      <c r="G438" s="7">
        <v>0.0</v>
      </c>
      <c r="H438" s="12" t="str">
        <f t="array" ref="H438">XLOOKUP(C:C,Sheet3!A:A,Sheet3!B:B)</f>
        <v>#N/A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1" t="s">
        <v>12</v>
      </c>
      <c r="B439" s="11" t="s">
        <v>8</v>
      </c>
      <c r="C439" s="9" t="s">
        <v>370</v>
      </c>
      <c r="D439" s="9" t="s">
        <v>48</v>
      </c>
      <c r="E439" s="9" t="s">
        <v>17</v>
      </c>
      <c r="F439" s="6">
        <v>1660000.0</v>
      </c>
      <c r="G439" s="7">
        <v>911061.0</v>
      </c>
      <c r="H439" s="12" t="str">
        <f t="array" ref="H439">XLOOKUP(C:C,Sheet3!A:A,Sheet3!B:B)</f>
        <v>#N/A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1" t="s">
        <v>12</v>
      </c>
      <c r="B440" s="11" t="s">
        <v>13</v>
      </c>
      <c r="C440" s="9" t="s">
        <v>370</v>
      </c>
      <c r="D440" s="9" t="s">
        <v>48</v>
      </c>
      <c r="E440" s="9" t="s">
        <v>17</v>
      </c>
      <c r="F440" s="6">
        <v>1258000.0</v>
      </c>
      <c r="G440" s="7">
        <v>0.0</v>
      </c>
      <c r="H440" s="12" t="str">
        <f t="array" ref="H440">XLOOKUP(C:C,Sheet3!A:A,Sheet3!B:B)</f>
        <v>#N/A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1" t="s">
        <v>12</v>
      </c>
      <c r="B441" s="11" t="s">
        <v>13</v>
      </c>
      <c r="C441" s="9" t="s">
        <v>371</v>
      </c>
      <c r="D441" s="9" t="s">
        <v>16</v>
      </c>
      <c r="E441" s="10" t="s">
        <v>14</v>
      </c>
      <c r="F441" s="6">
        <v>0.0</v>
      </c>
      <c r="G441" s="7">
        <v>0.0</v>
      </c>
      <c r="H441" s="12">
        <v>0.0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1" t="s">
        <v>7</v>
      </c>
      <c r="B442" s="11" t="s">
        <v>13</v>
      </c>
      <c r="C442" s="9" t="s">
        <v>372</v>
      </c>
      <c r="D442" s="9" t="s">
        <v>83</v>
      </c>
      <c r="E442" s="9" t="s">
        <v>23</v>
      </c>
      <c r="F442" s="6">
        <v>1500000.0</v>
      </c>
      <c r="G442" s="7">
        <v>0.0</v>
      </c>
      <c r="H442" s="12" t="str">
        <f t="array" ref="H442">XLOOKUP(C:C,Sheet3!A:A,Sheet3!B:B)</f>
        <v>#N/A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1" t="s">
        <v>12</v>
      </c>
      <c r="B443" s="11" t="s">
        <v>13</v>
      </c>
      <c r="C443" s="9" t="s">
        <v>372</v>
      </c>
      <c r="D443" s="9" t="s">
        <v>83</v>
      </c>
      <c r="E443" s="9" t="s">
        <v>17</v>
      </c>
      <c r="F443" s="6">
        <v>1500000.0</v>
      </c>
      <c r="G443" s="7">
        <v>2203803.0</v>
      </c>
      <c r="H443" s="12" t="str">
        <f t="array" ref="H443">XLOOKUP(C:C,Sheet3!A:A,Sheet3!B:B)</f>
        <v>#N/A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1" t="s">
        <v>12</v>
      </c>
      <c r="B444" s="11" t="s">
        <v>13</v>
      </c>
      <c r="C444" s="9" t="s">
        <v>373</v>
      </c>
      <c r="D444" s="9" t="s">
        <v>16</v>
      </c>
      <c r="E444" s="10" t="s">
        <v>14</v>
      </c>
      <c r="F444" s="6">
        <v>0.0</v>
      </c>
      <c r="G444" s="7">
        <v>0.0</v>
      </c>
      <c r="H444" s="12">
        <v>0.0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1" t="s">
        <v>12</v>
      </c>
      <c r="B445" s="11" t="s">
        <v>13</v>
      </c>
      <c r="C445" s="9" t="s">
        <v>374</v>
      </c>
      <c r="D445" s="9" t="s">
        <v>16</v>
      </c>
      <c r="E445" s="10" t="s">
        <v>14</v>
      </c>
      <c r="F445" s="6">
        <v>0.0</v>
      </c>
      <c r="G445" s="7">
        <v>0.0</v>
      </c>
      <c r="H445" s="12">
        <v>0.0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1" t="s">
        <v>12</v>
      </c>
      <c r="B446" s="11" t="s">
        <v>13</v>
      </c>
      <c r="C446" s="9" t="s">
        <v>375</v>
      </c>
      <c r="D446" s="9" t="s">
        <v>16</v>
      </c>
      <c r="E446" s="9" t="s">
        <v>33</v>
      </c>
      <c r="F446" s="6">
        <v>0.0</v>
      </c>
      <c r="G446" s="7">
        <v>0.0</v>
      </c>
      <c r="H446" s="12">
        <v>0.0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1" t="s">
        <v>12</v>
      </c>
      <c r="B447" s="11" t="s">
        <v>13</v>
      </c>
      <c r="C447" s="9" t="s">
        <v>376</v>
      </c>
      <c r="D447" s="9" t="s">
        <v>16</v>
      </c>
      <c r="E447" s="10" t="s">
        <v>14</v>
      </c>
      <c r="F447" s="6">
        <v>0.0</v>
      </c>
      <c r="G447" s="7">
        <v>0.0</v>
      </c>
      <c r="H447" s="12">
        <v>0.0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1" t="s">
        <v>12</v>
      </c>
      <c r="B448" s="11" t="s">
        <v>13</v>
      </c>
      <c r="C448" s="9" t="s">
        <v>377</v>
      </c>
      <c r="D448" s="9" t="s">
        <v>16</v>
      </c>
      <c r="E448" s="10" t="s">
        <v>14</v>
      </c>
      <c r="F448" s="6">
        <v>0.0</v>
      </c>
      <c r="G448" s="7">
        <v>0.0</v>
      </c>
      <c r="H448" s="12">
        <v>0.0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1" t="s">
        <v>12</v>
      </c>
      <c r="B449" s="11" t="s">
        <v>13</v>
      </c>
      <c r="C449" s="9" t="s">
        <v>378</v>
      </c>
      <c r="D449" s="9" t="s">
        <v>16</v>
      </c>
      <c r="E449" s="10" t="s">
        <v>14</v>
      </c>
      <c r="F449" s="6">
        <v>0.0</v>
      </c>
      <c r="G449" s="7">
        <v>0.0</v>
      </c>
      <c r="H449" s="12">
        <v>0.0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1" t="s">
        <v>12</v>
      </c>
      <c r="B450" s="11" t="s">
        <v>13</v>
      </c>
      <c r="C450" s="9" t="s">
        <v>379</v>
      </c>
      <c r="D450" s="9" t="s">
        <v>16</v>
      </c>
      <c r="E450" s="10" t="s">
        <v>14</v>
      </c>
      <c r="F450" s="6">
        <v>0.0</v>
      </c>
      <c r="G450" s="7">
        <v>0.0</v>
      </c>
      <c r="H450" s="12">
        <v>0.0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1" t="s">
        <v>12</v>
      </c>
      <c r="B451" s="11" t="s">
        <v>13</v>
      </c>
      <c r="C451" s="9" t="s">
        <v>380</v>
      </c>
      <c r="D451" s="9" t="s">
        <v>16</v>
      </c>
      <c r="E451" s="10" t="s">
        <v>14</v>
      </c>
      <c r="F451" s="6">
        <v>0.0</v>
      </c>
      <c r="G451" s="7">
        <v>0.0</v>
      </c>
      <c r="H451" s="12">
        <v>0.0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1" t="s">
        <v>12</v>
      </c>
      <c r="B452" s="11" t="s">
        <v>13</v>
      </c>
      <c r="C452" s="9" t="s">
        <v>381</v>
      </c>
      <c r="D452" s="9" t="s">
        <v>48</v>
      </c>
      <c r="E452" s="10" t="s">
        <v>14</v>
      </c>
      <c r="F452" s="6">
        <v>600000.0</v>
      </c>
      <c r="G452" s="7">
        <v>0.0</v>
      </c>
      <c r="H452" s="12" t="str">
        <f t="array" ref="H452">XLOOKUP(C:C,Sheet3!A:A,Sheet3!B:B)</f>
        <v>#N/A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1" t="s">
        <v>12</v>
      </c>
      <c r="B453" s="11" t="s">
        <v>13</v>
      </c>
      <c r="C453" s="9" t="s">
        <v>382</v>
      </c>
      <c r="D453" s="9" t="s">
        <v>16</v>
      </c>
      <c r="E453" s="10" t="s">
        <v>14</v>
      </c>
      <c r="F453" s="6">
        <v>0.0</v>
      </c>
      <c r="G453" s="7">
        <v>4569600.0</v>
      </c>
      <c r="H453" s="12" t="str">
        <f t="array" ref="H453">XLOOKUP(C:C,Sheet3!A:A,Sheet3!B:B)</f>
        <v>#N/A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1" t="s">
        <v>7</v>
      </c>
      <c r="B454" s="11" t="s">
        <v>13</v>
      </c>
      <c r="C454" s="9" t="s">
        <v>383</v>
      </c>
      <c r="D454" s="9" t="s">
        <v>19</v>
      </c>
      <c r="E454" s="9" t="s">
        <v>17</v>
      </c>
      <c r="F454" s="6">
        <v>0.0</v>
      </c>
      <c r="G454" s="7">
        <v>0.0</v>
      </c>
      <c r="H454" s="12" t="str">
        <f t="array" ref="H454">XLOOKUP(C:C,Sheet3!A:A,Sheet3!B:B)</f>
        <v>#N/A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1" t="s">
        <v>12</v>
      </c>
      <c r="B455" s="11" t="s">
        <v>13</v>
      </c>
      <c r="C455" s="9" t="s">
        <v>383</v>
      </c>
      <c r="D455" s="9" t="s">
        <v>19</v>
      </c>
      <c r="E455" s="10" t="s">
        <v>14</v>
      </c>
      <c r="F455" s="6">
        <v>0.0</v>
      </c>
      <c r="G455" s="7">
        <v>0.0</v>
      </c>
      <c r="H455" s="12" t="str">
        <f t="array" ref="H455">XLOOKUP(C:C,Sheet3!A:A,Sheet3!B:B)</f>
        <v>#N/A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1" t="s">
        <v>12</v>
      </c>
      <c r="B456" s="11" t="s">
        <v>13</v>
      </c>
      <c r="C456" s="9" t="s">
        <v>384</v>
      </c>
      <c r="D456" s="9" t="s">
        <v>19</v>
      </c>
      <c r="E456" s="10" t="s">
        <v>14</v>
      </c>
      <c r="F456" s="6">
        <v>0.0</v>
      </c>
      <c r="G456" s="7">
        <v>0.0</v>
      </c>
      <c r="H456" s="12" t="str">
        <f t="array" ref="H456">XLOOKUP(C:C,Sheet3!A:A,Sheet3!B:B)</f>
        <v>#N/A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1" t="s">
        <v>12</v>
      </c>
      <c r="B457" s="11" t="s">
        <v>13</v>
      </c>
      <c r="C457" s="9" t="s">
        <v>385</v>
      </c>
      <c r="D457" s="9" t="s">
        <v>16</v>
      </c>
      <c r="E457" s="10" t="s">
        <v>14</v>
      </c>
      <c r="F457" s="6">
        <v>0.0</v>
      </c>
      <c r="G457" s="7">
        <v>0.0</v>
      </c>
      <c r="H457" s="12">
        <v>0.0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1" t="s">
        <v>7</v>
      </c>
      <c r="B458" s="11" t="s">
        <v>8</v>
      </c>
      <c r="C458" s="9" t="s">
        <v>386</v>
      </c>
      <c r="D458" s="9" t="s">
        <v>16</v>
      </c>
      <c r="E458" s="10" t="s">
        <v>14</v>
      </c>
      <c r="F458" s="6">
        <v>0.0</v>
      </c>
      <c r="G458" s="7">
        <v>0.0</v>
      </c>
      <c r="H458" s="12">
        <v>0.0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1" t="s">
        <v>12</v>
      </c>
      <c r="B459" s="11" t="s">
        <v>13</v>
      </c>
      <c r="C459" s="9" t="s">
        <v>386</v>
      </c>
      <c r="D459" s="9" t="s">
        <v>16</v>
      </c>
      <c r="E459" s="10" t="s">
        <v>14</v>
      </c>
      <c r="F459" s="6">
        <v>0.0</v>
      </c>
      <c r="G459" s="7">
        <v>0.0</v>
      </c>
      <c r="H459" s="12">
        <v>0.0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1" t="s">
        <v>12</v>
      </c>
      <c r="B460" s="11" t="s">
        <v>8</v>
      </c>
      <c r="C460" s="9" t="s">
        <v>386</v>
      </c>
      <c r="D460" s="9" t="s">
        <v>16</v>
      </c>
      <c r="E460" s="10" t="s">
        <v>14</v>
      </c>
      <c r="F460" s="6">
        <v>0.0</v>
      </c>
      <c r="G460" s="7">
        <v>0.0</v>
      </c>
      <c r="H460" s="12">
        <v>0.0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1" t="s">
        <v>7</v>
      </c>
      <c r="B461" s="11" t="s">
        <v>8</v>
      </c>
      <c r="C461" s="9" t="s">
        <v>387</v>
      </c>
      <c r="D461" s="9" t="s">
        <v>48</v>
      </c>
      <c r="E461" s="9" t="s">
        <v>17</v>
      </c>
      <c r="F461" s="6">
        <v>0.0</v>
      </c>
      <c r="G461" s="7">
        <v>0.0</v>
      </c>
      <c r="H461" s="12" t="str">
        <f t="array" ref="H461">XLOOKUP(C:C,Sheet3!A:A,Sheet3!B:B)</f>
        <v>#N/A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1" t="s">
        <v>12</v>
      </c>
      <c r="B462" s="11" t="s">
        <v>8</v>
      </c>
      <c r="C462" s="9" t="s">
        <v>387</v>
      </c>
      <c r="D462" s="9" t="s">
        <v>48</v>
      </c>
      <c r="E462" s="9" t="s">
        <v>17</v>
      </c>
      <c r="F462" s="6">
        <v>2200000.0</v>
      </c>
      <c r="G462" s="7">
        <v>2362255.0</v>
      </c>
      <c r="H462" s="12" t="str">
        <f t="array" ref="H462">XLOOKUP(C:C,Sheet3!A:A,Sheet3!B:B)</f>
        <v>#N/A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1" t="s">
        <v>12</v>
      </c>
      <c r="B463" s="11" t="s">
        <v>13</v>
      </c>
      <c r="C463" s="9" t="s">
        <v>388</v>
      </c>
      <c r="D463" s="9" t="s">
        <v>16</v>
      </c>
      <c r="E463" s="10" t="s">
        <v>14</v>
      </c>
      <c r="F463" s="6">
        <v>700000.0</v>
      </c>
      <c r="G463" s="7">
        <v>0.0</v>
      </c>
      <c r="H463" s="12">
        <v>0.0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1" t="s">
        <v>12</v>
      </c>
      <c r="B464" s="11" t="s">
        <v>13</v>
      </c>
      <c r="C464" s="9" t="s">
        <v>389</v>
      </c>
      <c r="D464" s="9" t="s">
        <v>16</v>
      </c>
      <c r="E464" s="10" t="s">
        <v>14</v>
      </c>
      <c r="F464" s="6">
        <v>0.0</v>
      </c>
      <c r="G464" s="7">
        <v>0.0</v>
      </c>
      <c r="H464" s="12">
        <v>0.0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1" t="s">
        <v>12</v>
      </c>
      <c r="B465" s="11" t="s">
        <v>13</v>
      </c>
      <c r="C465" s="9" t="s">
        <v>390</v>
      </c>
      <c r="D465" s="9" t="s">
        <v>83</v>
      </c>
      <c r="E465" s="9" t="s">
        <v>49</v>
      </c>
      <c r="F465" s="6">
        <v>2750000.0</v>
      </c>
      <c r="G465" s="7">
        <v>1204829.0</v>
      </c>
      <c r="H465" s="12" t="str">
        <f t="array" ref="H465">XLOOKUP(C:C,Sheet3!A:A,Sheet3!B:B)</f>
        <v>#N/A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1" t="s">
        <v>7</v>
      </c>
      <c r="B466" s="11" t="s">
        <v>8</v>
      </c>
      <c r="C466" s="9" t="s">
        <v>391</v>
      </c>
      <c r="D466" s="9" t="s">
        <v>10</v>
      </c>
      <c r="E466" s="9" t="s">
        <v>49</v>
      </c>
      <c r="F466" s="6">
        <v>70000.0</v>
      </c>
      <c r="G466" s="7">
        <v>0.0</v>
      </c>
      <c r="H466" s="12" t="str">
        <f t="array" ref="H466">XLOOKUP(C:C,Sheet3!A:A,Sheet3!B:B)</f>
        <v>#N/A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1" t="s">
        <v>12</v>
      </c>
      <c r="B467" s="11" t="s">
        <v>8</v>
      </c>
      <c r="C467" s="9" t="s">
        <v>391</v>
      </c>
      <c r="D467" s="9" t="s">
        <v>10</v>
      </c>
      <c r="E467" s="9" t="s">
        <v>49</v>
      </c>
      <c r="F467" s="6">
        <v>100000.0</v>
      </c>
      <c r="G467" s="7">
        <v>0.0</v>
      </c>
      <c r="H467" s="12" t="str">
        <f t="array" ref="H467">XLOOKUP(C:C,Sheet3!A:A,Sheet3!B:B)</f>
        <v>#N/A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1" t="s">
        <v>12</v>
      </c>
      <c r="B468" s="11" t="s">
        <v>13</v>
      </c>
      <c r="C468" s="9" t="s">
        <v>392</v>
      </c>
      <c r="D468" s="9" t="s">
        <v>16</v>
      </c>
      <c r="E468" s="10" t="s">
        <v>14</v>
      </c>
      <c r="F468" s="6">
        <v>0.0</v>
      </c>
      <c r="G468" s="7">
        <v>0.0</v>
      </c>
      <c r="H468" s="12" t="str">
        <f t="array" ref="H468">XLOOKUP(C:C,Sheet3!A:A,Sheet3!B:B)</f>
        <v>#N/A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1" t="s">
        <v>12</v>
      </c>
      <c r="B469" s="11" t="s">
        <v>13</v>
      </c>
      <c r="C469" s="9" t="s">
        <v>393</v>
      </c>
      <c r="D469" s="9" t="s">
        <v>16</v>
      </c>
      <c r="E469" s="9" t="s">
        <v>17</v>
      </c>
      <c r="F469" s="6">
        <v>50000.0</v>
      </c>
      <c r="G469" s="7">
        <v>0.0</v>
      </c>
      <c r="H469" s="12">
        <v>0.0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1" t="s">
        <v>12</v>
      </c>
      <c r="B470" s="11" t="s">
        <v>8</v>
      </c>
      <c r="C470" s="9" t="s">
        <v>394</v>
      </c>
      <c r="D470" s="9" t="s">
        <v>16</v>
      </c>
      <c r="E470" s="9" t="s">
        <v>49</v>
      </c>
      <c r="F470" s="6">
        <v>275000.0</v>
      </c>
      <c r="G470" s="7">
        <v>168812.0</v>
      </c>
      <c r="H470" s="12">
        <v>0.0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1" t="s">
        <v>12</v>
      </c>
      <c r="B471" s="11" t="s">
        <v>13</v>
      </c>
      <c r="C471" s="9" t="s">
        <v>395</v>
      </c>
      <c r="D471" s="9" t="s">
        <v>16</v>
      </c>
      <c r="E471" s="10" t="s">
        <v>14</v>
      </c>
      <c r="F471" s="6">
        <v>300000.0</v>
      </c>
      <c r="G471" s="7">
        <v>0.0</v>
      </c>
      <c r="H471" s="12">
        <v>0.0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1" t="s">
        <v>12</v>
      </c>
      <c r="B472" s="11" t="s">
        <v>13</v>
      </c>
      <c r="C472" s="9" t="s">
        <v>396</v>
      </c>
      <c r="D472" s="9" t="s">
        <v>16</v>
      </c>
      <c r="E472" s="10" t="s">
        <v>14</v>
      </c>
      <c r="F472" s="6">
        <v>19000.0</v>
      </c>
      <c r="G472" s="7">
        <v>22066.0</v>
      </c>
      <c r="H472" s="12" t="str">
        <f t="array" ref="H472">XLOOKUP(C:C,Sheet3!A:A,Sheet3!B:B)</f>
        <v>#N/A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1" t="s">
        <v>12</v>
      </c>
      <c r="B473" s="11" t="s">
        <v>13</v>
      </c>
      <c r="C473" s="9" t="s">
        <v>397</v>
      </c>
      <c r="D473" s="9" t="s">
        <v>16</v>
      </c>
      <c r="E473" s="10" t="s">
        <v>14</v>
      </c>
      <c r="F473" s="6">
        <v>0.0</v>
      </c>
      <c r="G473" s="7">
        <v>0.0</v>
      </c>
      <c r="H473" s="12">
        <v>0.0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1" t="s">
        <v>12</v>
      </c>
      <c r="B474" s="11" t="s">
        <v>13</v>
      </c>
      <c r="C474" s="9" t="s">
        <v>398</v>
      </c>
      <c r="D474" s="9" t="s">
        <v>16</v>
      </c>
      <c r="E474" s="9" t="s">
        <v>49</v>
      </c>
      <c r="F474" s="6">
        <v>0.0</v>
      </c>
      <c r="G474" s="7">
        <v>0.0</v>
      </c>
      <c r="H474" s="12">
        <v>0.0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1" t="s">
        <v>12</v>
      </c>
      <c r="B475" s="11" t="s">
        <v>13</v>
      </c>
      <c r="C475" s="9" t="s">
        <v>399</v>
      </c>
      <c r="D475" s="9" t="s">
        <v>16</v>
      </c>
      <c r="E475" s="10" t="s">
        <v>14</v>
      </c>
      <c r="F475" s="6">
        <v>0.0</v>
      </c>
      <c r="G475" s="7">
        <v>0.0</v>
      </c>
      <c r="H475" s="12">
        <v>0.0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1" t="s">
        <v>12</v>
      </c>
      <c r="B476" s="11" t="s">
        <v>13</v>
      </c>
      <c r="C476" s="9" t="s">
        <v>400</v>
      </c>
      <c r="D476" s="9" t="s">
        <v>16</v>
      </c>
      <c r="E476" s="10" t="s">
        <v>14</v>
      </c>
      <c r="F476" s="6">
        <v>0.0</v>
      </c>
      <c r="G476" s="7">
        <v>0.0</v>
      </c>
      <c r="H476" s="12">
        <v>0.0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1" t="s">
        <v>12</v>
      </c>
      <c r="B477" s="11" t="s">
        <v>13</v>
      </c>
      <c r="C477" s="9" t="s">
        <v>401</v>
      </c>
      <c r="D477" s="9" t="s">
        <v>16</v>
      </c>
      <c r="E477" s="10" t="s">
        <v>14</v>
      </c>
      <c r="F477" s="6">
        <v>0.0</v>
      </c>
      <c r="G477" s="7">
        <v>0.0</v>
      </c>
      <c r="H477" s="12">
        <v>0.0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1" t="s">
        <v>12</v>
      </c>
      <c r="B478" s="11" t="s">
        <v>13</v>
      </c>
      <c r="C478" s="9" t="s">
        <v>402</v>
      </c>
      <c r="D478" s="9" t="s">
        <v>16</v>
      </c>
      <c r="E478" s="10" t="s">
        <v>14</v>
      </c>
      <c r="F478" s="6">
        <v>0.0</v>
      </c>
      <c r="G478" s="7">
        <v>0.0</v>
      </c>
      <c r="H478" s="12">
        <v>0.0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1" t="s">
        <v>12</v>
      </c>
      <c r="B479" s="11" t="s">
        <v>13</v>
      </c>
      <c r="C479" s="9" t="s">
        <v>403</v>
      </c>
      <c r="D479" s="9" t="s">
        <v>16</v>
      </c>
      <c r="E479" s="10" t="s">
        <v>14</v>
      </c>
      <c r="F479" s="6">
        <v>0.0</v>
      </c>
      <c r="G479" s="7">
        <v>0.0</v>
      </c>
      <c r="H479" s="12">
        <v>0.0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1" t="s">
        <v>12</v>
      </c>
      <c r="B480" s="11" t="s">
        <v>13</v>
      </c>
      <c r="C480" s="9" t="s">
        <v>404</v>
      </c>
      <c r="D480" s="9" t="s">
        <v>16</v>
      </c>
      <c r="E480" s="10" t="s">
        <v>14</v>
      </c>
      <c r="F480" s="6">
        <v>14000.0</v>
      </c>
      <c r="G480" s="7">
        <v>0.0</v>
      </c>
      <c r="H480" s="12" t="str">
        <f t="array" ref="H480">XLOOKUP(C:C,Sheet3!A:A,Sheet3!B:B)</f>
        <v>#N/A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1" t="s">
        <v>12</v>
      </c>
      <c r="B481" s="11" t="s">
        <v>13</v>
      </c>
      <c r="C481" s="9" t="s">
        <v>405</v>
      </c>
      <c r="D481" s="9" t="s">
        <v>115</v>
      </c>
      <c r="E481" s="9" t="s">
        <v>17</v>
      </c>
      <c r="F481" s="6">
        <v>200000.0</v>
      </c>
      <c r="G481" s="7">
        <v>0.0</v>
      </c>
      <c r="H481" s="12" t="str">
        <f t="array" ref="H481">XLOOKUP(C:C,Sheet3!A:A,Sheet3!B:B)</f>
        <v>#N/A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1" t="s">
        <v>12</v>
      </c>
      <c r="B482" s="11" t="s">
        <v>13</v>
      </c>
      <c r="C482" s="9" t="s">
        <v>406</v>
      </c>
      <c r="D482" s="9" t="s">
        <v>16</v>
      </c>
      <c r="E482" s="9" t="s">
        <v>96</v>
      </c>
      <c r="F482" s="6">
        <v>178000.0</v>
      </c>
      <c r="G482" s="7">
        <v>209450.0</v>
      </c>
      <c r="H482" s="12" t="str">
        <f t="array" ref="H482">XLOOKUP(C:C,Sheet3!A:A,Sheet3!B:B)</f>
        <v>#N/A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1" t="s">
        <v>12</v>
      </c>
      <c r="B483" s="11" t="s">
        <v>8</v>
      </c>
      <c r="C483" s="9" t="s">
        <v>407</v>
      </c>
      <c r="D483" s="9" t="s">
        <v>16</v>
      </c>
      <c r="E483" s="9" t="s">
        <v>49</v>
      </c>
      <c r="F483" s="6">
        <v>700000.0</v>
      </c>
      <c r="G483" s="7">
        <v>0.0</v>
      </c>
      <c r="H483" s="12" t="str">
        <f t="array" ref="H483">XLOOKUP(C:C,Sheet3!A:A,Sheet3!B:B)</f>
        <v>#N/A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1" t="s">
        <v>12</v>
      </c>
      <c r="B484" s="11" t="s">
        <v>13</v>
      </c>
      <c r="C484" s="9" t="s">
        <v>408</v>
      </c>
      <c r="D484" s="9" t="s">
        <v>16</v>
      </c>
      <c r="E484" s="9" t="s">
        <v>49</v>
      </c>
      <c r="F484" s="6">
        <v>114000.0</v>
      </c>
      <c r="G484" s="7">
        <v>0.0</v>
      </c>
      <c r="H484" s="12" t="str">
        <f t="array" ref="H484">XLOOKUP(C:C,Sheet3!A:A,Sheet3!B:B)</f>
        <v>#N/A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1" t="s">
        <v>12</v>
      </c>
      <c r="B485" s="11" t="s">
        <v>13</v>
      </c>
      <c r="C485" s="9" t="s">
        <v>409</v>
      </c>
      <c r="D485" s="9" t="s">
        <v>48</v>
      </c>
      <c r="E485" s="10" t="s">
        <v>14</v>
      </c>
      <c r="F485" s="6">
        <v>0.0</v>
      </c>
      <c r="G485" s="7">
        <v>7941122.0</v>
      </c>
      <c r="H485" s="12" t="str">
        <f t="array" ref="H485">XLOOKUP(C:C,Sheet3!A:A,Sheet3!B:B)</f>
        <v>#N/A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1" t="s">
        <v>7</v>
      </c>
      <c r="B486" s="11" t="s">
        <v>8</v>
      </c>
      <c r="C486" s="9" t="s">
        <v>410</v>
      </c>
      <c r="D486" s="9" t="s">
        <v>16</v>
      </c>
      <c r="E486" s="9" t="s">
        <v>11</v>
      </c>
      <c r="F486" s="6">
        <v>2000000.0</v>
      </c>
      <c r="G486" s="7">
        <v>0.0</v>
      </c>
      <c r="H486" s="12" t="str">
        <f t="array" ref="H486">XLOOKUP(C:C,Sheet3!A:A,Sheet3!B:B)</f>
        <v>#N/A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1" t="s">
        <v>7</v>
      </c>
      <c r="B487" s="11" t="s">
        <v>13</v>
      </c>
      <c r="C487" s="9" t="s">
        <v>410</v>
      </c>
      <c r="D487" s="9" t="s">
        <v>16</v>
      </c>
      <c r="E487" s="9" t="s">
        <v>11</v>
      </c>
      <c r="F487" s="6">
        <v>2000000.0</v>
      </c>
      <c r="G487" s="7">
        <v>0.0</v>
      </c>
      <c r="H487" s="12" t="str">
        <f t="array" ref="H487">XLOOKUP(C:C,Sheet3!A:A,Sheet3!B:B)</f>
        <v>#N/A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1" t="s">
        <v>12</v>
      </c>
      <c r="B488" s="11" t="s">
        <v>13</v>
      </c>
      <c r="C488" s="9" t="s">
        <v>410</v>
      </c>
      <c r="D488" s="9" t="s">
        <v>16</v>
      </c>
      <c r="E488" s="10" t="s">
        <v>14</v>
      </c>
      <c r="F488" s="6">
        <v>3.0E7</v>
      </c>
      <c r="G488" s="7">
        <v>4376.0</v>
      </c>
      <c r="H488" s="12" t="str">
        <f t="array" ref="H488">XLOOKUP(C:C,Sheet3!A:A,Sheet3!B:B)</f>
        <v>#N/A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1" t="s">
        <v>12</v>
      </c>
      <c r="B489" s="11" t="s">
        <v>8</v>
      </c>
      <c r="C489" s="9" t="s">
        <v>410</v>
      </c>
      <c r="D489" s="9" t="s">
        <v>16</v>
      </c>
      <c r="E489" s="9" t="s">
        <v>11</v>
      </c>
      <c r="F489" s="6">
        <v>2000000.0</v>
      </c>
      <c r="G489" s="7">
        <v>1166953.0</v>
      </c>
      <c r="H489" s="12" t="str">
        <f t="array" ref="H489">XLOOKUP(C:C,Sheet3!A:A,Sheet3!B:B)</f>
        <v>#N/A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1" t="s">
        <v>12</v>
      </c>
      <c r="B490" s="11" t="s">
        <v>13</v>
      </c>
      <c r="C490" s="9" t="s">
        <v>411</v>
      </c>
      <c r="D490" s="9" t="s">
        <v>16</v>
      </c>
      <c r="E490" s="9" t="s">
        <v>49</v>
      </c>
      <c r="F490" s="6">
        <v>0.0</v>
      </c>
      <c r="G490" s="7">
        <v>0.0</v>
      </c>
      <c r="H490" s="12">
        <v>0.0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1" t="s">
        <v>12</v>
      </c>
      <c r="B491" s="11" t="s">
        <v>13</v>
      </c>
      <c r="C491" s="9" t="s">
        <v>412</v>
      </c>
      <c r="D491" s="9" t="s">
        <v>16</v>
      </c>
      <c r="E491" s="10" t="s">
        <v>14</v>
      </c>
      <c r="F491" s="6">
        <v>0.0</v>
      </c>
      <c r="G491" s="7">
        <v>0.0</v>
      </c>
      <c r="H491" s="12" t="str">
        <f t="array" ref="H491">XLOOKUP(C:C,Sheet3!A:A,Sheet3!B:B)</f>
        <v>#N/A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1" t="s">
        <v>12</v>
      </c>
      <c r="B492" s="11" t="s">
        <v>13</v>
      </c>
      <c r="C492" s="9" t="s">
        <v>413</v>
      </c>
      <c r="D492" s="9" t="s">
        <v>16</v>
      </c>
      <c r="E492" s="9" t="s">
        <v>17</v>
      </c>
      <c r="F492" s="6">
        <v>0.0</v>
      </c>
      <c r="G492" s="7">
        <v>0.0</v>
      </c>
      <c r="H492" s="12">
        <v>0.0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1" t="s">
        <v>12</v>
      </c>
      <c r="B493" s="11" t="s">
        <v>13</v>
      </c>
      <c r="C493" s="9" t="s">
        <v>414</v>
      </c>
      <c r="D493" s="9" t="s">
        <v>16</v>
      </c>
      <c r="E493" s="9" t="s">
        <v>55</v>
      </c>
      <c r="F493" s="6">
        <v>900000.0</v>
      </c>
      <c r="G493" s="7">
        <v>0.0</v>
      </c>
      <c r="H493" s="12" t="str">
        <f t="array" ref="H493">XLOOKUP(C:C,Sheet3!A:A,Sheet3!B:B)</f>
        <v>#N/A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1" t="s">
        <v>12</v>
      </c>
      <c r="B494" s="11" t="s">
        <v>8</v>
      </c>
      <c r="C494" s="9" t="s">
        <v>414</v>
      </c>
      <c r="D494" s="9" t="s">
        <v>16</v>
      </c>
      <c r="E494" s="10" t="s">
        <v>14</v>
      </c>
      <c r="F494" s="6">
        <v>0.0</v>
      </c>
      <c r="G494" s="7">
        <v>0.0</v>
      </c>
      <c r="H494" s="12" t="str">
        <f t="array" ref="H494">XLOOKUP(C:C,Sheet3!A:A,Sheet3!B:B)</f>
        <v>#N/A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1" t="s">
        <v>12</v>
      </c>
      <c r="B495" s="11" t="s">
        <v>13</v>
      </c>
      <c r="C495" s="9" t="s">
        <v>415</v>
      </c>
      <c r="D495" s="9" t="s">
        <v>16</v>
      </c>
      <c r="E495" s="10" t="s">
        <v>14</v>
      </c>
      <c r="F495" s="6">
        <v>0.0</v>
      </c>
      <c r="G495" s="7">
        <v>0.0</v>
      </c>
      <c r="H495" s="12">
        <v>0.0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1" t="s">
        <v>12</v>
      </c>
      <c r="B496" s="11" t="s">
        <v>13</v>
      </c>
      <c r="C496" s="9" t="s">
        <v>416</v>
      </c>
      <c r="D496" s="9" t="s">
        <v>16</v>
      </c>
      <c r="E496" s="10" t="s">
        <v>14</v>
      </c>
      <c r="F496" s="6">
        <v>0.0</v>
      </c>
      <c r="G496" s="7">
        <v>0.0</v>
      </c>
      <c r="H496" s="12">
        <v>0.0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1" t="s">
        <v>12</v>
      </c>
      <c r="B497" s="11" t="s">
        <v>13</v>
      </c>
      <c r="C497" s="9" t="s">
        <v>417</v>
      </c>
      <c r="D497" s="9" t="s">
        <v>16</v>
      </c>
      <c r="E497" s="10" t="s">
        <v>14</v>
      </c>
      <c r="F497" s="6">
        <v>0.0</v>
      </c>
      <c r="G497" s="7">
        <v>0.0</v>
      </c>
      <c r="H497" s="12">
        <v>0.0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1" t="s">
        <v>12</v>
      </c>
      <c r="B498" s="11" t="s">
        <v>13</v>
      </c>
      <c r="C498" s="9" t="s">
        <v>418</v>
      </c>
      <c r="D498" s="9" t="s">
        <v>419</v>
      </c>
      <c r="E498" s="9" t="s">
        <v>49</v>
      </c>
      <c r="F498" s="6">
        <v>570000.0</v>
      </c>
      <c r="G498" s="7">
        <v>0.0</v>
      </c>
      <c r="H498" s="12" t="str">
        <f t="array" ref="H498">XLOOKUP(C:C,Sheet3!A:A,Sheet3!B:B)</f>
        <v>#N/A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1" t="s">
        <v>12</v>
      </c>
      <c r="B499" s="11" t="s">
        <v>13</v>
      </c>
      <c r="C499" s="9" t="s">
        <v>420</v>
      </c>
      <c r="D499" s="9" t="s">
        <v>19</v>
      </c>
      <c r="E499" s="9" t="s">
        <v>17</v>
      </c>
      <c r="F499" s="6">
        <v>350000.0</v>
      </c>
      <c r="G499" s="7">
        <v>0.0</v>
      </c>
      <c r="H499" s="12" t="str">
        <f t="array" ref="H499">XLOOKUP(C:C,Sheet3!A:A,Sheet3!B:B)</f>
        <v>#N/A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1" t="s">
        <v>12</v>
      </c>
      <c r="B500" s="11" t="s">
        <v>13</v>
      </c>
      <c r="C500" s="9" t="s">
        <v>421</v>
      </c>
      <c r="D500" s="9" t="s">
        <v>16</v>
      </c>
      <c r="E500" s="10" t="s">
        <v>14</v>
      </c>
      <c r="F500" s="6">
        <v>0.0</v>
      </c>
      <c r="G500" s="7">
        <v>0.0</v>
      </c>
      <c r="H500" s="12">
        <v>0.0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1" t="s">
        <v>12</v>
      </c>
      <c r="B501" s="11" t="s">
        <v>13</v>
      </c>
      <c r="C501" s="9" t="s">
        <v>422</v>
      </c>
      <c r="D501" s="9" t="s">
        <v>16</v>
      </c>
      <c r="E501" s="9" t="s">
        <v>74</v>
      </c>
      <c r="F501" s="6">
        <v>1.0</v>
      </c>
      <c r="G501" s="7">
        <v>0.0</v>
      </c>
      <c r="H501" s="12">
        <v>0.0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1" t="s">
        <v>12</v>
      </c>
      <c r="B502" s="11" t="s">
        <v>13</v>
      </c>
      <c r="C502" s="9" t="s">
        <v>423</v>
      </c>
      <c r="D502" s="9" t="s">
        <v>16</v>
      </c>
      <c r="E502" s="9" t="s">
        <v>49</v>
      </c>
      <c r="F502" s="6">
        <v>0.0</v>
      </c>
      <c r="G502" s="7">
        <v>0.0</v>
      </c>
      <c r="H502" s="12">
        <v>0.0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1" t="s">
        <v>12</v>
      </c>
      <c r="B503" s="11" t="s">
        <v>13</v>
      </c>
      <c r="C503" s="9" t="s">
        <v>424</v>
      </c>
      <c r="D503" s="9" t="s">
        <v>419</v>
      </c>
      <c r="E503" s="9" t="s">
        <v>17</v>
      </c>
      <c r="F503" s="6">
        <v>350000.0</v>
      </c>
      <c r="G503" s="7">
        <v>0.0</v>
      </c>
      <c r="H503" s="12" t="str">
        <f t="array" ref="H503">XLOOKUP(C:C,Sheet3!A:A,Sheet3!B:B)</f>
        <v>#N/A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1" t="s">
        <v>12</v>
      </c>
      <c r="B504" s="11" t="s">
        <v>13</v>
      </c>
      <c r="C504" s="9" t="s">
        <v>425</v>
      </c>
      <c r="D504" s="9" t="s">
        <v>16</v>
      </c>
      <c r="E504" s="10" t="s">
        <v>14</v>
      </c>
      <c r="F504" s="6">
        <v>0.0</v>
      </c>
      <c r="G504" s="7">
        <v>0.0</v>
      </c>
      <c r="H504" s="12">
        <v>0.0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1" t="s">
        <v>12</v>
      </c>
      <c r="B505" s="11" t="s">
        <v>8</v>
      </c>
      <c r="C505" s="9" t="s">
        <v>426</v>
      </c>
      <c r="D505" s="9" t="s">
        <v>16</v>
      </c>
      <c r="E505" s="10" t="s">
        <v>14</v>
      </c>
      <c r="F505" s="6">
        <v>0.0</v>
      </c>
      <c r="G505" s="7">
        <v>0.0</v>
      </c>
      <c r="H505" s="12">
        <v>0.0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1" t="s">
        <v>7</v>
      </c>
      <c r="B506" s="11" t="s">
        <v>13</v>
      </c>
      <c r="C506" s="9" t="s">
        <v>427</v>
      </c>
      <c r="D506" s="9" t="s">
        <v>37</v>
      </c>
      <c r="E506" s="9" t="s">
        <v>23</v>
      </c>
      <c r="F506" s="6">
        <v>2.0E7</v>
      </c>
      <c r="G506" s="7">
        <v>0.0</v>
      </c>
      <c r="H506" s="12" t="str">
        <f t="array" ref="H506">XLOOKUP(C:C,Sheet3!A:A,Sheet3!B:B)</f>
        <v>#N/A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1" t="s">
        <v>12</v>
      </c>
      <c r="B507" s="11" t="s">
        <v>13</v>
      </c>
      <c r="C507" s="9" t="s">
        <v>427</v>
      </c>
      <c r="D507" s="9" t="s">
        <v>37</v>
      </c>
      <c r="E507" s="9" t="s">
        <v>17</v>
      </c>
      <c r="F507" s="6">
        <v>2.0E7</v>
      </c>
      <c r="G507" s="7">
        <v>1.64932554E7</v>
      </c>
      <c r="H507" s="12" t="str">
        <f t="array" ref="H507">XLOOKUP(C:C,Sheet3!A:A,Sheet3!B:B)</f>
        <v>#N/A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1" t="s">
        <v>12</v>
      </c>
      <c r="B508" s="11" t="s">
        <v>13</v>
      </c>
      <c r="C508" s="9" t="s">
        <v>428</v>
      </c>
      <c r="D508" s="9" t="s">
        <v>37</v>
      </c>
      <c r="E508" s="10" t="s">
        <v>14</v>
      </c>
      <c r="F508" s="6">
        <v>0.0</v>
      </c>
      <c r="G508" s="7">
        <v>0.0</v>
      </c>
      <c r="H508" s="12" t="str">
        <f t="array" ref="H508">XLOOKUP(C:C,Sheet3!A:A,Sheet3!B:B)</f>
        <v>#N/A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1" t="s">
        <v>7</v>
      </c>
      <c r="B509" s="11" t="s">
        <v>13</v>
      </c>
      <c r="C509" s="9" t="s">
        <v>429</v>
      </c>
      <c r="D509" s="9" t="s">
        <v>16</v>
      </c>
      <c r="E509" s="9" t="s">
        <v>173</v>
      </c>
      <c r="F509" s="6">
        <v>200000.0</v>
      </c>
      <c r="G509" s="7">
        <v>0.0</v>
      </c>
      <c r="H509" s="12">
        <v>0.0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1" t="s">
        <v>12</v>
      </c>
      <c r="B510" s="11" t="s">
        <v>13</v>
      </c>
      <c r="C510" s="9" t="s">
        <v>429</v>
      </c>
      <c r="D510" s="9" t="s">
        <v>16</v>
      </c>
      <c r="E510" s="9" t="s">
        <v>11</v>
      </c>
      <c r="F510" s="6">
        <v>200000.0</v>
      </c>
      <c r="G510" s="7">
        <v>0.0</v>
      </c>
      <c r="H510" s="12">
        <v>0.0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1" t="s">
        <v>12</v>
      </c>
      <c r="B511" s="11" t="s">
        <v>13</v>
      </c>
      <c r="C511" s="9" t="s">
        <v>430</v>
      </c>
      <c r="D511" s="9" t="s">
        <v>32</v>
      </c>
      <c r="E511" s="9" t="s">
        <v>49</v>
      </c>
      <c r="F511" s="6">
        <v>1400000.0</v>
      </c>
      <c r="G511" s="7">
        <v>637411.0</v>
      </c>
      <c r="H511" s="12" t="str">
        <f t="array" ref="H511">XLOOKUP(C:C,Sheet3!A:A,Sheet3!B:B)</f>
        <v>#N/A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1" t="s">
        <v>12</v>
      </c>
      <c r="B512" s="11" t="s">
        <v>13</v>
      </c>
      <c r="C512" s="9" t="s">
        <v>431</v>
      </c>
      <c r="D512" s="9" t="s">
        <v>16</v>
      </c>
      <c r="E512" s="10" t="s">
        <v>14</v>
      </c>
      <c r="F512" s="6">
        <v>0.0</v>
      </c>
      <c r="G512" s="7">
        <v>0.0</v>
      </c>
      <c r="H512" s="12">
        <v>0.0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1" t="s">
        <v>12</v>
      </c>
      <c r="B513" s="11" t="s">
        <v>13</v>
      </c>
      <c r="C513" s="9" t="s">
        <v>432</v>
      </c>
      <c r="D513" s="9" t="s">
        <v>16</v>
      </c>
      <c r="E513" s="10" t="s">
        <v>14</v>
      </c>
      <c r="F513" s="6">
        <v>24000.0</v>
      </c>
      <c r="G513" s="7">
        <v>0.0</v>
      </c>
      <c r="H513" s="12">
        <v>0.0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1" t="s">
        <v>7</v>
      </c>
      <c r="B514" s="11" t="s">
        <v>13</v>
      </c>
      <c r="C514" s="9" t="s">
        <v>433</v>
      </c>
      <c r="D514" s="9" t="s">
        <v>88</v>
      </c>
      <c r="E514" s="9" t="s">
        <v>144</v>
      </c>
      <c r="F514" s="6">
        <v>1150000.0</v>
      </c>
      <c r="G514" s="7">
        <v>0.0</v>
      </c>
      <c r="H514" s="12" t="str">
        <f t="array" ref="H514">XLOOKUP(C:C,Sheet3!A:A,Sheet3!B:B)</f>
        <v>#N/A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1" t="s">
        <v>12</v>
      </c>
      <c r="B515" s="11" t="s">
        <v>13</v>
      </c>
      <c r="C515" s="9" t="s">
        <v>433</v>
      </c>
      <c r="D515" s="9" t="s">
        <v>88</v>
      </c>
      <c r="E515" s="9" t="s">
        <v>49</v>
      </c>
      <c r="F515" s="6">
        <v>1150000.0</v>
      </c>
      <c r="G515" s="7">
        <v>638782.0</v>
      </c>
      <c r="H515" s="12" t="str">
        <f t="array" ref="H515">XLOOKUP(C:C,Sheet3!A:A,Sheet3!B:B)</f>
        <v>#N/A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1" t="s">
        <v>12</v>
      </c>
      <c r="B516" s="11" t="s">
        <v>13</v>
      </c>
      <c r="C516" s="9" t="s">
        <v>434</v>
      </c>
      <c r="D516" s="9" t="s">
        <v>16</v>
      </c>
      <c r="E516" s="10" t="s">
        <v>14</v>
      </c>
      <c r="F516" s="6">
        <v>0.0</v>
      </c>
      <c r="G516" s="7">
        <v>0.0</v>
      </c>
      <c r="H516" s="12">
        <v>0.0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1" t="s">
        <v>7</v>
      </c>
      <c r="B517" s="11" t="s">
        <v>8</v>
      </c>
      <c r="C517" s="9" t="s">
        <v>435</v>
      </c>
      <c r="D517" s="9" t="s">
        <v>16</v>
      </c>
      <c r="E517" s="9" t="s">
        <v>49</v>
      </c>
      <c r="F517" s="6">
        <v>0.0</v>
      </c>
      <c r="G517" s="7">
        <v>0.0</v>
      </c>
      <c r="H517" s="12" t="str">
        <f t="array" ref="H517">XLOOKUP(C:C,Sheet3!A:A,Sheet3!B:B)</f>
        <v>#N/A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1" t="s">
        <v>12</v>
      </c>
      <c r="B518" s="11" t="s">
        <v>8</v>
      </c>
      <c r="C518" s="9" t="s">
        <v>435</v>
      </c>
      <c r="D518" s="9" t="s">
        <v>16</v>
      </c>
      <c r="E518" s="9" t="s">
        <v>49</v>
      </c>
      <c r="F518" s="6">
        <v>0.0</v>
      </c>
      <c r="G518" s="7">
        <v>0.0</v>
      </c>
      <c r="H518" s="12" t="str">
        <f t="array" ref="H518">XLOOKUP(C:C,Sheet3!A:A,Sheet3!B:B)</f>
        <v>#N/A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1" t="s">
        <v>12</v>
      </c>
      <c r="B519" s="11" t="s">
        <v>13</v>
      </c>
      <c r="C519" s="9" t="s">
        <v>436</v>
      </c>
      <c r="D519" s="9" t="s">
        <v>16</v>
      </c>
      <c r="E519" s="10" t="s">
        <v>14</v>
      </c>
      <c r="F519" s="6">
        <v>0.0</v>
      </c>
      <c r="G519" s="7">
        <v>-950000.0</v>
      </c>
      <c r="H519" s="12" t="str">
        <f t="array" ref="H519">XLOOKUP(C:C,Sheet3!A:A,Sheet3!B:B)</f>
        <v>#N/A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1" t="s">
        <v>12</v>
      </c>
      <c r="B520" s="11" t="s">
        <v>13</v>
      </c>
      <c r="C520" s="9" t="s">
        <v>437</v>
      </c>
      <c r="D520" s="9" t="s">
        <v>16</v>
      </c>
      <c r="E520" s="10" t="s">
        <v>14</v>
      </c>
      <c r="F520" s="6">
        <v>0.0</v>
      </c>
      <c r="G520" s="7">
        <v>0.0</v>
      </c>
      <c r="H520" s="12">
        <v>0.0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1" t="s">
        <v>12</v>
      </c>
      <c r="B521" s="11" t="s">
        <v>13</v>
      </c>
      <c r="C521" s="9" t="s">
        <v>438</v>
      </c>
      <c r="D521" s="9" t="s">
        <v>32</v>
      </c>
      <c r="E521" s="10" t="s">
        <v>14</v>
      </c>
      <c r="F521" s="6">
        <v>0.0</v>
      </c>
      <c r="G521" s="7">
        <v>0.0</v>
      </c>
      <c r="H521" s="12" t="str">
        <f t="array" ref="H521">XLOOKUP(C:C,Sheet3!A:A,Sheet3!B:B)</f>
        <v>#N/A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1" t="s">
        <v>12</v>
      </c>
      <c r="B522" s="11" t="s">
        <v>13</v>
      </c>
      <c r="C522" s="9" t="s">
        <v>439</v>
      </c>
      <c r="D522" s="9" t="s">
        <v>16</v>
      </c>
      <c r="E522" s="9" t="s">
        <v>84</v>
      </c>
      <c r="F522" s="6">
        <v>0.0</v>
      </c>
      <c r="G522" s="7">
        <v>0.0</v>
      </c>
      <c r="H522" s="12">
        <v>0.0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1" t="s">
        <v>12</v>
      </c>
      <c r="B523" s="11" t="s">
        <v>13</v>
      </c>
      <c r="C523" s="9" t="s">
        <v>440</v>
      </c>
      <c r="D523" s="9" t="s">
        <v>16</v>
      </c>
      <c r="E523" s="10" t="s">
        <v>14</v>
      </c>
      <c r="F523" s="6">
        <v>0.0</v>
      </c>
      <c r="G523" s="7">
        <v>0.0</v>
      </c>
      <c r="H523" s="12">
        <v>0.0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1" t="s">
        <v>7</v>
      </c>
      <c r="B524" s="11" t="s">
        <v>13</v>
      </c>
      <c r="C524" s="9" t="s">
        <v>441</v>
      </c>
      <c r="D524" s="9" t="s">
        <v>32</v>
      </c>
      <c r="E524" s="9" t="s">
        <v>49</v>
      </c>
      <c r="F524" s="6">
        <v>100000.0</v>
      </c>
      <c r="G524" s="7">
        <v>0.0</v>
      </c>
      <c r="H524" s="12" t="str">
        <f t="array" ref="H524">XLOOKUP(C:C,Sheet3!A:A,Sheet3!B:B)</f>
        <v>#N/A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1" t="s">
        <v>12</v>
      </c>
      <c r="B525" s="11" t="s">
        <v>13</v>
      </c>
      <c r="C525" s="9" t="s">
        <v>441</v>
      </c>
      <c r="D525" s="9" t="s">
        <v>32</v>
      </c>
      <c r="E525" s="9" t="s">
        <v>49</v>
      </c>
      <c r="F525" s="6">
        <v>200000.0</v>
      </c>
      <c r="G525" s="7">
        <v>0.0</v>
      </c>
      <c r="H525" s="12" t="str">
        <f t="array" ref="H525">XLOOKUP(C:C,Sheet3!A:A,Sheet3!B:B)</f>
        <v>#N/A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1" t="s">
        <v>12</v>
      </c>
      <c r="B526" s="11" t="s">
        <v>13</v>
      </c>
      <c r="C526" s="9" t="s">
        <v>442</v>
      </c>
      <c r="D526" s="9" t="s">
        <v>48</v>
      </c>
      <c r="E526" s="10" t="s">
        <v>14</v>
      </c>
      <c r="F526" s="6">
        <v>1165000.0</v>
      </c>
      <c r="G526" s="7">
        <v>-21948.0</v>
      </c>
      <c r="H526" s="12" t="str">
        <f t="array" ref="H526">XLOOKUP(C:C,Sheet3!A:A,Sheet3!B:B)</f>
        <v>#N/A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1" t="s">
        <v>12</v>
      </c>
      <c r="B527" s="11" t="s">
        <v>13</v>
      </c>
      <c r="C527" s="9" t="s">
        <v>443</v>
      </c>
      <c r="D527" s="9" t="s">
        <v>16</v>
      </c>
      <c r="E527" s="10" t="s">
        <v>14</v>
      </c>
      <c r="F527" s="6">
        <v>0.0</v>
      </c>
      <c r="G527" s="7">
        <v>715200.0</v>
      </c>
      <c r="H527" s="12" t="str">
        <f t="array" ref="H527">XLOOKUP(C:C,Sheet3!A:A,Sheet3!B:B)</f>
        <v>#N/A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1" t="s">
        <v>12</v>
      </c>
      <c r="B528" s="11" t="s">
        <v>13</v>
      </c>
      <c r="C528" s="9" t="s">
        <v>444</v>
      </c>
      <c r="D528" s="9" t="s">
        <v>16</v>
      </c>
      <c r="E528" s="10" t="s">
        <v>14</v>
      </c>
      <c r="F528" s="6">
        <v>0.0</v>
      </c>
      <c r="G528" s="7">
        <v>0.0</v>
      </c>
      <c r="H528" s="12">
        <v>0.0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1" t="s">
        <v>12</v>
      </c>
      <c r="B529" s="11" t="s">
        <v>13</v>
      </c>
      <c r="C529" s="9" t="s">
        <v>445</v>
      </c>
      <c r="D529" s="9" t="s">
        <v>16</v>
      </c>
      <c r="E529" s="10" t="s">
        <v>14</v>
      </c>
      <c r="F529" s="6">
        <v>0.0</v>
      </c>
      <c r="G529" s="7">
        <v>0.0</v>
      </c>
      <c r="H529" s="12">
        <v>0.0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1" t="s">
        <v>12</v>
      </c>
      <c r="B530" s="11" t="s">
        <v>8</v>
      </c>
      <c r="C530" s="9" t="s">
        <v>446</v>
      </c>
      <c r="D530" s="9" t="s">
        <v>16</v>
      </c>
      <c r="E530" s="9" t="s">
        <v>187</v>
      </c>
      <c r="F530" s="6">
        <v>1.0</v>
      </c>
      <c r="G530" s="7">
        <v>0.0</v>
      </c>
      <c r="H530" s="12">
        <v>0.0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1" t="s">
        <v>12</v>
      </c>
      <c r="B531" s="11" t="s">
        <v>13</v>
      </c>
      <c r="C531" s="9" t="s">
        <v>447</v>
      </c>
      <c r="D531" s="9" t="s">
        <v>16</v>
      </c>
      <c r="E531" s="10" t="s">
        <v>14</v>
      </c>
      <c r="F531" s="6">
        <v>0.0</v>
      </c>
      <c r="G531" s="7">
        <v>0.0</v>
      </c>
      <c r="H531" s="12">
        <v>0.0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1" t="s">
        <v>12</v>
      </c>
      <c r="B532" s="11" t="s">
        <v>13</v>
      </c>
      <c r="C532" s="9" t="s">
        <v>448</v>
      </c>
      <c r="D532" s="9" t="s">
        <v>16</v>
      </c>
      <c r="E532" s="10" t="s">
        <v>14</v>
      </c>
      <c r="F532" s="6">
        <v>148000.0</v>
      </c>
      <c r="G532" s="7">
        <v>0.0</v>
      </c>
      <c r="H532" s="12" t="str">
        <f t="array" ref="H532">XLOOKUP(C:C,Sheet3!A:A,Sheet3!B:B)</f>
        <v>#N/A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1" t="s">
        <v>12</v>
      </c>
      <c r="B533" s="11" t="s">
        <v>8</v>
      </c>
      <c r="C533" s="9" t="s">
        <v>448</v>
      </c>
      <c r="D533" s="9" t="s">
        <v>16</v>
      </c>
      <c r="E533" s="10" t="s">
        <v>14</v>
      </c>
      <c r="F533" s="6">
        <v>0.0</v>
      </c>
      <c r="G533" s="7">
        <v>0.0</v>
      </c>
      <c r="H533" s="12" t="str">
        <f t="array" ref="H533">XLOOKUP(C:C,Sheet3!A:A,Sheet3!B:B)</f>
        <v>#N/A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1" t="s">
        <v>7</v>
      </c>
      <c r="B534" s="11" t="s">
        <v>8</v>
      </c>
      <c r="C534" s="9" t="s">
        <v>449</v>
      </c>
      <c r="D534" s="9" t="s">
        <v>16</v>
      </c>
      <c r="E534" s="10" t="s">
        <v>14</v>
      </c>
      <c r="F534" s="6">
        <v>0.0</v>
      </c>
      <c r="G534" s="7">
        <v>0.0</v>
      </c>
      <c r="H534" s="12" t="str">
        <f t="array" ref="H534">XLOOKUP(C:C,Sheet3!A:A,Sheet3!B:B)</f>
        <v>#N/A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1" t="s">
        <v>12</v>
      </c>
      <c r="B535" s="11" t="s">
        <v>13</v>
      </c>
      <c r="C535" s="9" t="s">
        <v>449</v>
      </c>
      <c r="D535" s="9" t="s">
        <v>16</v>
      </c>
      <c r="E535" s="10" t="s">
        <v>14</v>
      </c>
      <c r="F535" s="6">
        <v>0.0</v>
      </c>
      <c r="G535" s="7">
        <v>0.0</v>
      </c>
      <c r="H535" s="12" t="str">
        <f t="array" ref="H535">XLOOKUP(C:C,Sheet3!A:A,Sheet3!B:B)</f>
        <v>#N/A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1" t="s">
        <v>12</v>
      </c>
      <c r="B536" s="11" t="s">
        <v>8</v>
      </c>
      <c r="C536" s="9" t="s">
        <v>449</v>
      </c>
      <c r="D536" s="9" t="s">
        <v>16</v>
      </c>
      <c r="E536" s="10" t="s">
        <v>14</v>
      </c>
      <c r="F536" s="6">
        <v>0.0</v>
      </c>
      <c r="G536" s="7">
        <v>0.0</v>
      </c>
      <c r="H536" s="12" t="str">
        <f t="array" ref="H536">XLOOKUP(C:C,Sheet3!A:A,Sheet3!B:B)</f>
        <v>#N/A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1" t="s">
        <v>12</v>
      </c>
      <c r="B537" s="11" t="s">
        <v>13</v>
      </c>
      <c r="C537" s="9" t="s">
        <v>450</v>
      </c>
      <c r="D537" s="9" t="s">
        <v>16</v>
      </c>
      <c r="E537" s="10" t="s">
        <v>14</v>
      </c>
      <c r="F537" s="6">
        <v>200000.0</v>
      </c>
      <c r="G537" s="7">
        <v>0.0</v>
      </c>
      <c r="H537" s="12" t="str">
        <f t="array" ref="H537">XLOOKUP(C:C,Sheet3!A:A,Sheet3!B:B)</f>
        <v>#N/A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1" t="s">
        <v>12</v>
      </c>
      <c r="B538" s="11" t="s">
        <v>8</v>
      </c>
      <c r="C538" s="9" t="s">
        <v>451</v>
      </c>
      <c r="D538" s="9" t="s">
        <v>16</v>
      </c>
      <c r="E538" s="9" t="s">
        <v>49</v>
      </c>
      <c r="F538" s="6">
        <v>0.0</v>
      </c>
      <c r="G538" s="7">
        <v>0.0</v>
      </c>
      <c r="H538" s="12">
        <v>0.0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1" t="s">
        <v>12</v>
      </c>
      <c r="B539" s="11" t="s">
        <v>8</v>
      </c>
      <c r="C539" s="9" t="s">
        <v>452</v>
      </c>
      <c r="D539" s="9" t="s">
        <v>16</v>
      </c>
      <c r="E539" s="9" t="s">
        <v>49</v>
      </c>
      <c r="F539" s="6">
        <v>502000.0</v>
      </c>
      <c r="G539" s="7">
        <v>0.0</v>
      </c>
      <c r="H539" s="12" t="str">
        <f t="array" ref="H539">XLOOKUP(C:C,Sheet3!A:A,Sheet3!B:B)</f>
        <v>#N/A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1" t="s">
        <v>12</v>
      </c>
      <c r="B540" s="11" t="s">
        <v>13</v>
      </c>
      <c r="C540" s="9" t="s">
        <v>453</v>
      </c>
      <c r="D540" s="9" t="s">
        <v>16</v>
      </c>
      <c r="E540" s="10" t="s">
        <v>14</v>
      </c>
      <c r="F540" s="6">
        <v>0.0</v>
      </c>
      <c r="G540" s="7">
        <v>0.0</v>
      </c>
      <c r="H540" s="12">
        <v>0.0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1" t="s">
        <v>7</v>
      </c>
      <c r="B541" s="11" t="s">
        <v>13</v>
      </c>
      <c r="C541" s="9" t="s">
        <v>454</v>
      </c>
      <c r="D541" s="9" t="s">
        <v>37</v>
      </c>
      <c r="E541" s="9" t="s">
        <v>49</v>
      </c>
      <c r="F541" s="6">
        <v>1.0E7</v>
      </c>
      <c r="G541" s="7">
        <v>0.0</v>
      </c>
      <c r="H541" s="12">
        <v>0.0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1" t="s">
        <v>12</v>
      </c>
      <c r="B542" s="11" t="s">
        <v>13</v>
      </c>
      <c r="C542" s="9" t="s">
        <v>454</v>
      </c>
      <c r="D542" s="9" t="s">
        <v>37</v>
      </c>
      <c r="E542" s="9" t="s">
        <v>49</v>
      </c>
      <c r="F542" s="6">
        <v>2.0E7</v>
      </c>
      <c r="G542" s="7">
        <v>4758286.0</v>
      </c>
      <c r="H542" s="12">
        <v>0.0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1" t="s">
        <v>12</v>
      </c>
      <c r="B543" s="11" t="s">
        <v>13</v>
      </c>
      <c r="C543" s="9" t="s">
        <v>455</v>
      </c>
      <c r="D543" s="9" t="s">
        <v>16</v>
      </c>
      <c r="E543" s="10" t="s">
        <v>14</v>
      </c>
      <c r="F543" s="6">
        <v>0.0</v>
      </c>
      <c r="G543" s="7">
        <v>0.0</v>
      </c>
      <c r="H543" s="12">
        <v>0.0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1" t="s">
        <v>12</v>
      </c>
      <c r="B544" s="11" t="s">
        <v>13</v>
      </c>
      <c r="C544" s="9" t="s">
        <v>456</v>
      </c>
      <c r="D544" s="9" t="s">
        <v>37</v>
      </c>
      <c r="E544" s="10" t="s">
        <v>14</v>
      </c>
      <c r="F544" s="6">
        <v>0.0</v>
      </c>
      <c r="G544" s="7">
        <v>0.0</v>
      </c>
      <c r="H544" s="12">
        <v>0.0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1" t="s">
        <v>12</v>
      </c>
      <c r="B545" s="11" t="s">
        <v>13</v>
      </c>
      <c r="C545" s="9" t="s">
        <v>457</v>
      </c>
      <c r="D545" s="9" t="s">
        <v>16</v>
      </c>
      <c r="E545" s="10" t="s">
        <v>14</v>
      </c>
      <c r="F545" s="6">
        <v>100000.0</v>
      </c>
      <c r="G545" s="7">
        <v>0.0</v>
      </c>
      <c r="H545" s="12" t="str">
        <f t="array" ref="H545">XLOOKUP(C:C,Sheet3!A:A,Sheet3!B:B)</f>
        <v>#N/A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1" t="s">
        <v>7</v>
      </c>
      <c r="B546" s="11" t="s">
        <v>13</v>
      </c>
      <c r="C546" s="9" t="s">
        <v>458</v>
      </c>
      <c r="D546" s="9" t="s">
        <v>32</v>
      </c>
      <c r="E546" s="9" t="s">
        <v>17</v>
      </c>
      <c r="F546" s="6">
        <v>500000.0</v>
      </c>
      <c r="G546" s="7">
        <v>0.0</v>
      </c>
      <c r="H546" s="12">
        <v>0.0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1" t="s">
        <v>12</v>
      </c>
      <c r="B547" s="11" t="s">
        <v>13</v>
      </c>
      <c r="C547" s="9" t="s">
        <v>458</v>
      </c>
      <c r="D547" s="9" t="s">
        <v>32</v>
      </c>
      <c r="E547" s="9" t="s">
        <v>17</v>
      </c>
      <c r="F547" s="6">
        <v>3000000.0</v>
      </c>
      <c r="G547" s="7">
        <v>2364437.0</v>
      </c>
      <c r="H547" s="12">
        <v>0.0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1" t="s">
        <v>12</v>
      </c>
      <c r="B548" s="11" t="s">
        <v>13</v>
      </c>
      <c r="C548" s="9" t="s">
        <v>459</v>
      </c>
      <c r="D548" s="9" t="s">
        <v>32</v>
      </c>
      <c r="E548" s="10" t="s">
        <v>14</v>
      </c>
      <c r="F548" s="6">
        <v>0.0</v>
      </c>
      <c r="G548" s="7">
        <v>478000.0</v>
      </c>
      <c r="H548" s="12">
        <v>0.0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1" t="s">
        <v>7</v>
      </c>
      <c r="B549" s="11" t="s">
        <v>13</v>
      </c>
      <c r="C549" s="9" t="s">
        <v>460</v>
      </c>
      <c r="D549" s="9" t="s">
        <v>32</v>
      </c>
      <c r="E549" s="9" t="s">
        <v>144</v>
      </c>
      <c r="F549" s="6">
        <v>2750000.0</v>
      </c>
      <c r="G549" s="7">
        <v>0.0</v>
      </c>
      <c r="H549" s="12" t="str">
        <f t="array" ref="H549">XLOOKUP(C:C,Sheet3!A:A,Sheet3!B:B)</f>
        <v>#N/A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1" t="s">
        <v>12</v>
      </c>
      <c r="B550" s="11" t="s">
        <v>13</v>
      </c>
      <c r="C550" s="9" t="s">
        <v>460</v>
      </c>
      <c r="D550" s="9" t="s">
        <v>32</v>
      </c>
      <c r="E550" s="9" t="s">
        <v>49</v>
      </c>
      <c r="F550" s="6">
        <v>2750000.0</v>
      </c>
      <c r="G550" s="7">
        <v>1072863.0</v>
      </c>
      <c r="H550" s="12" t="str">
        <f t="array" ref="H550">XLOOKUP(C:C,Sheet3!A:A,Sheet3!B:B)</f>
        <v>#N/A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1" t="s">
        <v>12</v>
      </c>
      <c r="B551" s="11" t="s">
        <v>13</v>
      </c>
      <c r="C551" s="9" t="s">
        <v>461</v>
      </c>
      <c r="D551" s="9" t="s">
        <v>16</v>
      </c>
      <c r="E551" s="10" t="s">
        <v>14</v>
      </c>
      <c r="F551" s="6">
        <v>0.0</v>
      </c>
      <c r="G551" s="7">
        <v>0.0</v>
      </c>
      <c r="H551" s="12">
        <v>0.0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1" t="s">
        <v>7</v>
      </c>
      <c r="B552" s="11" t="s">
        <v>13</v>
      </c>
      <c r="C552" s="9" t="s">
        <v>462</v>
      </c>
      <c r="D552" s="9" t="s">
        <v>37</v>
      </c>
      <c r="E552" s="9" t="s">
        <v>23</v>
      </c>
      <c r="F552" s="6">
        <v>6500000.0</v>
      </c>
      <c r="G552" s="7">
        <v>0.0</v>
      </c>
      <c r="H552" s="12" t="str">
        <f t="array" ref="H552">XLOOKUP(C:C,Sheet3!A:A,Sheet3!B:B)</f>
        <v>#N/A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1" t="s">
        <v>12</v>
      </c>
      <c r="B553" s="11" t="s">
        <v>13</v>
      </c>
      <c r="C553" s="9" t="s">
        <v>462</v>
      </c>
      <c r="D553" s="9" t="s">
        <v>37</v>
      </c>
      <c r="E553" s="9" t="s">
        <v>17</v>
      </c>
      <c r="F553" s="6">
        <v>6500000.0</v>
      </c>
      <c r="G553" s="7">
        <v>4596903.0</v>
      </c>
      <c r="H553" s="12" t="str">
        <f t="array" ref="H553">XLOOKUP(C:C,Sheet3!A:A,Sheet3!B:B)</f>
        <v>#N/A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1" t="s">
        <v>7</v>
      </c>
      <c r="B554" s="11" t="s">
        <v>13</v>
      </c>
      <c r="C554" s="9" t="s">
        <v>463</v>
      </c>
      <c r="D554" s="9" t="s">
        <v>32</v>
      </c>
      <c r="E554" s="9" t="s">
        <v>144</v>
      </c>
      <c r="F554" s="6">
        <v>6000000.0</v>
      </c>
      <c r="G554" s="7">
        <v>0.0</v>
      </c>
      <c r="H554" s="12" t="str">
        <f t="array" ref="H554">XLOOKUP(C:C,Sheet3!A:A,Sheet3!B:B)</f>
        <v>#N/A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1" t="s">
        <v>12</v>
      </c>
      <c r="B555" s="11" t="s">
        <v>13</v>
      </c>
      <c r="C555" s="9" t="s">
        <v>463</v>
      </c>
      <c r="D555" s="9" t="s">
        <v>32</v>
      </c>
      <c r="E555" s="9" t="s">
        <v>49</v>
      </c>
      <c r="F555" s="6">
        <v>6000000.0</v>
      </c>
      <c r="G555" s="7">
        <v>654768.0</v>
      </c>
      <c r="H555" s="12" t="str">
        <f t="array" ref="H555">XLOOKUP(C:C,Sheet3!A:A,Sheet3!B:B)</f>
        <v>#N/A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1" t="s">
        <v>12</v>
      </c>
      <c r="B556" s="11" t="s">
        <v>13</v>
      </c>
      <c r="C556" s="9" t="s">
        <v>464</v>
      </c>
      <c r="D556" s="9" t="s">
        <v>16</v>
      </c>
      <c r="E556" s="10" t="s">
        <v>14</v>
      </c>
      <c r="F556" s="6">
        <v>0.0</v>
      </c>
      <c r="G556" s="7">
        <v>0.0</v>
      </c>
      <c r="H556" s="12">
        <v>0.0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1" t="s">
        <v>12</v>
      </c>
      <c r="B557" s="11" t="s">
        <v>13</v>
      </c>
      <c r="C557" s="9" t="s">
        <v>465</v>
      </c>
      <c r="D557" s="9" t="s">
        <v>16</v>
      </c>
      <c r="E557" s="9" t="s">
        <v>49</v>
      </c>
      <c r="F557" s="6">
        <v>0.0</v>
      </c>
      <c r="G557" s="7">
        <v>0.0</v>
      </c>
      <c r="H557" s="12">
        <v>0.0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1" t="s">
        <v>12</v>
      </c>
      <c r="B558" s="11" t="s">
        <v>13</v>
      </c>
      <c r="C558" s="9" t="s">
        <v>466</v>
      </c>
      <c r="D558" s="9" t="s">
        <v>16</v>
      </c>
      <c r="E558" s="10" t="s">
        <v>14</v>
      </c>
      <c r="F558" s="6">
        <v>0.0</v>
      </c>
      <c r="G558" s="7">
        <v>0.0</v>
      </c>
      <c r="H558" s="12">
        <v>0.0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1" t="s">
        <v>12</v>
      </c>
      <c r="B559" s="11" t="s">
        <v>8</v>
      </c>
      <c r="C559" s="9" t="s">
        <v>467</v>
      </c>
      <c r="D559" s="9" t="s">
        <v>16</v>
      </c>
      <c r="E559" s="10" t="s">
        <v>14</v>
      </c>
      <c r="F559" s="6">
        <v>1.0</v>
      </c>
      <c r="G559" s="7">
        <v>0.0</v>
      </c>
      <c r="H559" s="12">
        <v>0.0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1" t="s">
        <v>7</v>
      </c>
      <c r="B560" s="11" t="s">
        <v>13</v>
      </c>
      <c r="C560" s="9" t="s">
        <v>468</v>
      </c>
      <c r="D560" s="9" t="s">
        <v>32</v>
      </c>
      <c r="E560" s="9" t="s">
        <v>17</v>
      </c>
      <c r="F560" s="6">
        <v>500000.0</v>
      </c>
      <c r="G560" s="7">
        <v>0.0</v>
      </c>
      <c r="H560" s="12" t="str">
        <f t="array" ref="H560">XLOOKUP(C:C,Sheet3!A:A,Sheet3!B:B)</f>
        <v>#N/A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1" t="s">
        <v>12</v>
      </c>
      <c r="B561" s="11" t="s">
        <v>13</v>
      </c>
      <c r="C561" s="9" t="s">
        <v>468</v>
      </c>
      <c r="D561" s="9" t="s">
        <v>32</v>
      </c>
      <c r="E561" s="9" t="s">
        <v>17</v>
      </c>
      <c r="F561" s="6">
        <v>500000.0</v>
      </c>
      <c r="G561" s="7">
        <v>16553.0</v>
      </c>
      <c r="H561" s="12" t="str">
        <f t="array" ref="H561">XLOOKUP(C:C,Sheet3!A:A,Sheet3!B:B)</f>
        <v>#N/A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1" t="s">
        <v>12</v>
      </c>
      <c r="B562" s="11" t="s">
        <v>13</v>
      </c>
      <c r="C562" s="9" t="s">
        <v>469</v>
      </c>
      <c r="D562" s="9" t="s">
        <v>16</v>
      </c>
      <c r="E562" s="10" t="s">
        <v>14</v>
      </c>
      <c r="F562" s="6">
        <v>0.0</v>
      </c>
      <c r="G562" s="7">
        <v>-3068000.0</v>
      </c>
      <c r="H562" s="12" t="str">
        <f t="array" ref="H562">XLOOKUP(C:C,Sheet3!A:A,Sheet3!B:B)</f>
        <v>#N/A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1" t="s">
        <v>12</v>
      </c>
      <c r="B563" s="11" t="s">
        <v>13</v>
      </c>
      <c r="C563" s="9" t="s">
        <v>470</v>
      </c>
      <c r="D563" s="9" t="s">
        <v>16</v>
      </c>
      <c r="E563" s="10" t="s">
        <v>14</v>
      </c>
      <c r="F563" s="6">
        <v>0.0</v>
      </c>
      <c r="G563" s="7">
        <v>0.0</v>
      </c>
      <c r="H563" s="12">
        <v>0.0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1" t="s">
        <v>7</v>
      </c>
      <c r="B564" s="11" t="s">
        <v>13</v>
      </c>
      <c r="C564" s="9" t="s">
        <v>471</v>
      </c>
      <c r="D564" s="9" t="s">
        <v>88</v>
      </c>
      <c r="E564" s="9" t="s">
        <v>23</v>
      </c>
      <c r="F564" s="6">
        <v>1000000.0</v>
      </c>
      <c r="G564" s="7">
        <v>0.0</v>
      </c>
      <c r="H564" s="12" t="str">
        <f t="array" ref="H564">XLOOKUP(C:C,Sheet3!A:A,Sheet3!B:B)</f>
        <v>#N/A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1" t="s">
        <v>12</v>
      </c>
      <c r="B565" s="11" t="s">
        <v>13</v>
      </c>
      <c r="C565" s="9" t="s">
        <v>471</v>
      </c>
      <c r="D565" s="9" t="s">
        <v>88</v>
      </c>
      <c r="E565" s="9" t="s">
        <v>17</v>
      </c>
      <c r="F565" s="6">
        <v>1000000.0</v>
      </c>
      <c r="G565" s="7">
        <v>191699.0</v>
      </c>
      <c r="H565" s="12" t="str">
        <f t="array" ref="H565">XLOOKUP(C:C,Sheet3!A:A,Sheet3!B:B)</f>
        <v>#N/A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1" t="s">
        <v>12</v>
      </c>
      <c r="B566" s="11" t="s">
        <v>13</v>
      </c>
      <c r="C566" s="9" t="s">
        <v>472</v>
      </c>
      <c r="D566" s="9" t="s">
        <v>16</v>
      </c>
      <c r="E566" s="10" t="s">
        <v>14</v>
      </c>
      <c r="F566" s="6">
        <v>0.0</v>
      </c>
      <c r="G566" s="7">
        <v>0.0</v>
      </c>
      <c r="H566" s="12">
        <v>0.0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1" t="s">
        <v>12</v>
      </c>
      <c r="B567" s="11" t="s">
        <v>13</v>
      </c>
      <c r="C567" s="9" t="s">
        <v>473</v>
      </c>
      <c r="D567" s="9" t="s">
        <v>16</v>
      </c>
      <c r="E567" s="10" t="s">
        <v>14</v>
      </c>
      <c r="F567" s="6">
        <v>0.0</v>
      </c>
      <c r="G567" s="7">
        <v>0.0</v>
      </c>
      <c r="H567" s="12">
        <v>0.0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1" t="s">
        <v>12</v>
      </c>
      <c r="B568" s="11" t="s">
        <v>13</v>
      </c>
      <c r="C568" s="9" t="s">
        <v>83</v>
      </c>
      <c r="D568" s="9" t="s">
        <v>16</v>
      </c>
      <c r="E568" s="10" t="s">
        <v>14</v>
      </c>
      <c r="F568" s="6">
        <v>0.0</v>
      </c>
      <c r="G568" s="7">
        <v>0.0</v>
      </c>
      <c r="H568" s="12">
        <v>0.0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1" t="s">
        <v>12</v>
      </c>
      <c r="B569" s="11" t="s">
        <v>8</v>
      </c>
      <c r="C569" s="9" t="s">
        <v>474</v>
      </c>
      <c r="D569" s="9" t="s">
        <v>16</v>
      </c>
      <c r="E569" s="10" t="s">
        <v>14</v>
      </c>
      <c r="F569" s="6">
        <v>0.0</v>
      </c>
      <c r="G569" s="7">
        <v>0.0</v>
      </c>
      <c r="H569" s="12">
        <v>0.0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1" t="s">
        <v>12</v>
      </c>
      <c r="B570" s="11" t="s">
        <v>13</v>
      </c>
      <c r="C570" s="9" t="s">
        <v>475</v>
      </c>
      <c r="D570" s="9" t="s">
        <v>16</v>
      </c>
      <c r="E570" s="10" t="s">
        <v>14</v>
      </c>
      <c r="F570" s="6">
        <v>0.0</v>
      </c>
      <c r="G570" s="7">
        <v>0.0</v>
      </c>
      <c r="H570" s="12">
        <v>0.0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1" t="s">
        <v>7</v>
      </c>
      <c r="B571" s="11" t="s">
        <v>13</v>
      </c>
      <c r="C571" s="9" t="s">
        <v>476</v>
      </c>
      <c r="D571" s="9" t="s">
        <v>32</v>
      </c>
      <c r="E571" s="9" t="s">
        <v>173</v>
      </c>
      <c r="F571" s="6">
        <v>2500000.0</v>
      </c>
      <c r="G571" s="7">
        <v>0.0</v>
      </c>
      <c r="H571" s="12" t="str">
        <f t="array" ref="H571">XLOOKUP(C:C,Sheet3!A:A,Sheet3!B:B)</f>
        <v>#N/A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1" t="s">
        <v>12</v>
      </c>
      <c r="B572" s="11" t="s">
        <v>13</v>
      </c>
      <c r="C572" s="9" t="s">
        <v>476</v>
      </c>
      <c r="D572" s="9" t="s">
        <v>32</v>
      </c>
      <c r="E572" s="9" t="s">
        <v>11</v>
      </c>
      <c r="F572" s="6">
        <v>2500000.0</v>
      </c>
      <c r="G572" s="7">
        <v>100597.0</v>
      </c>
      <c r="H572" s="12" t="str">
        <f t="array" ref="H572">XLOOKUP(C:C,Sheet3!A:A,Sheet3!B:B)</f>
        <v>#N/A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1" t="s">
        <v>12</v>
      </c>
      <c r="B573" s="11" t="s">
        <v>13</v>
      </c>
      <c r="C573" s="9" t="s">
        <v>477</v>
      </c>
      <c r="D573" s="9" t="s">
        <v>16</v>
      </c>
      <c r="E573" s="10" t="s">
        <v>14</v>
      </c>
      <c r="F573" s="6">
        <v>0.0</v>
      </c>
      <c r="G573" s="7">
        <v>1987668.0</v>
      </c>
      <c r="H573" s="12" t="str">
        <f t="array" ref="H573">XLOOKUP(C:C,Sheet3!A:A,Sheet3!B:B)</f>
        <v>#N/A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1" t="s">
        <v>12</v>
      </c>
      <c r="B574" s="11" t="s">
        <v>13</v>
      </c>
      <c r="C574" s="9" t="s">
        <v>478</v>
      </c>
      <c r="D574" s="9" t="s">
        <v>16</v>
      </c>
      <c r="E574" s="10" t="s">
        <v>14</v>
      </c>
      <c r="F574" s="6">
        <v>0.0</v>
      </c>
      <c r="G574" s="7">
        <v>0.0</v>
      </c>
      <c r="H574" s="12">
        <v>0.0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1" t="s">
        <v>12</v>
      </c>
      <c r="B575" s="11" t="s">
        <v>13</v>
      </c>
      <c r="C575" s="9" t="s">
        <v>479</v>
      </c>
      <c r="D575" s="9" t="s">
        <v>16</v>
      </c>
      <c r="E575" s="10" t="s">
        <v>14</v>
      </c>
      <c r="F575" s="6">
        <v>0.0</v>
      </c>
      <c r="G575" s="7">
        <v>0.0</v>
      </c>
      <c r="H575" s="12">
        <v>0.0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1" t="s">
        <v>12</v>
      </c>
      <c r="B576" s="11" t="s">
        <v>13</v>
      </c>
      <c r="C576" s="9" t="s">
        <v>480</v>
      </c>
      <c r="D576" s="9" t="s">
        <v>16</v>
      </c>
      <c r="E576" s="10" t="s">
        <v>14</v>
      </c>
      <c r="F576" s="6">
        <v>0.0</v>
      </c>
      <c r="G576" s="7">
        <v>0.0</v>
      </c>
      <c r="H576" s="12">
        <v>0.0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1" t="s">
        <v>12</v>
      </c>
      <c r="B577" s="11" t="s">
        <v>13</v>
      </c>
      <c r="C577" s="9" t="s">
        <v>481</v>
      </c>
      <c r="D577" s="9" t="s">
        <v>16</v>
      </c>
      <c r="E577" s="10" t="s">
        <v>14</v>
      </c>
      <c r="F577" s="6">
        <v>0.0</v>
      </c>
      <c r="G577" s="7">
        <v>0.0</v>
      </c>
      <c r="H577" s="12">
        <v>0.0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1" t="s">
        <v>12</v>
      </c>
      <c r="B578" s="11" t="s">
        <v>8</v>
      </c>
      <c r="C578" s="9" t="s">
        <v>482</v>
      </c>
      <c r="D578" s="9" t="s">
        <v>16</v>
      </c>
      <c r="E578" s="10" t="s">
        <v>14</v>
      </c>
      <c r="F578" s="6">
        <v>1284725.0</v>
      </c>
      <c r="G578" s="7">
        <v>0.0</v>
      </c>
      <c r="H578" s="12">
        <v>0.0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1" t="s">
        <v>7</v>
      </c>
      <c r="B579" s="11" t="s">
        <v>8</v>
      </c>
      <c r="C579" s="9" t="s">
        <v>483</v>
      </c>
      <c r="D579" s="9" t="s">
        <v>48</v>
      </c>
      <c r="E579" s="10" t="s">
        <v>14</v>
      </c>
      <c r="F579" s="6">
        <v>0.0</v>
      </c>
      <c r="G579" s="7">
        <v>0.0</v>
      </c>
      <c r="H579" s="12" t="str">
        <f t="array" ref="H579">XLOOKUP(C:C,Sheet3!A:A,Sheet3!B:B)</f>
        <v>#N/A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1" t="s">
        <v>7</v>
      </c>
      <c r="B580" s="11" t="s">
        <v>13</v>
      </c>
      <c r="C580" s="9" t="s">
        <v>483</v>
      </c>
      <c r="D580" s="9" t="s">
        <v>48</v>
      </c>
      <c r="E580" s="10" t="s">
        <v>14</v>
      </c>
      <c r="F580" s="6">
        <v>1850000.0</v>
      </c>
      <c r="G580" s="7">
        <v>0.0</v>
      </c>
      <c r="H580" s="12" t="str">
        <f t="array" ref="H580">XLOOKUP(C:C,Sheet3!A:A,Sheet3!B:B)</f>
        <v>#N/A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1" t="s">
        <v>12</v>
      </c>
      <c r="B581" s="11" t="s">
        <v>13</v>
      </c>
      <c r="C581" s="9" t="s">
        <v>483</v>
      </c>
      <c r="D581" s="9" t="s">
        <v>48</v>
      </c>
      <c r="E581" s="10" t="s">
        <v>14</v>
      </c>
      <c r="F581" s="6">
        <v>1970000.0</v>
      </c>
      <c r="G581" s="7">
        <v>0.0</v>
      </c>
      <c r="H581" s="12" t="str">
        <f t="array" ref="H581">XLOOKUP(C:C,Sheet3!A:A,Sheet3!B:B)</f>
        <v>#N/A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1" t="s">
        <v>12</v>
      </c>
      <c r="B582" s="11" t="s">
        <v>8</v>
      </c>
      <c r="C582" s="9" t="s">
        <v>483</v>
      </c>
      <c r="D582" s="9" t="s">
        <v>48</v>
      </c>
      <c r="E582" s="10" t="s">
        <v>14</v>
      </c>
      <c r="F582" s="6">
        <v>0.0</v>
      </c>
      <c r="G582" s="7">
        <v>0.0</v>
      </c>
      <c r="H582" s="12" t="str">
        <f t="array" ref="H582">XLOOKUP(C:C,Sheet3!A:A,Sheet3!B:B)</f>
        <v>#N/A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1" t="s">
        <v>12</v>
      </c>
      <c r="B583" s="11" t="s">
        <v>13</v>
      </c>
      <c r="C583" s="9" t="s">
        <v>484</v>
      </c>
      <c r="D583" s="9" t="s">
        <v>16</v>
      </c>
      <c r="E583" s="10" t="s">
        <v>14</v>
      </c>
      <c r="F583" s="6">
        <v>0.0</v>
      </c>
      <c r="G583" s="7">
        <v>0.0</v>
      </c>
      <c r="H583" s="12">
        <v>0.0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1" t="s">
        <v>12</v>
      </c>
      <c r="B584" s="11" t="s">
        <v>13</v>
      </c>
      <c r="C584" s="9" t="s">
        <v>485</v>
      </c>
      <c r="D584" s="9" t="s">
        <v>16</v>
      </c>
      <c r="E584" s="10" t="s">
        <v>14</v>
      </c>
      <c r="F584" s="6">
        <v>912000.0</v>
      </c>
      <c r="G584" s="7">
        <v>906875.0</v>
      </c>
      <c r="H584" s="12" t="str">
        <f t="array" ref="H584">XLOOKUP(C:C,Sheet3!A:A,Sheet3!B:B)</f>
        <v>#N/A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1" t="s">
        <v>12</v>
      </c>
      <c r="B585" s="11" t="s">
        <v>8</v>
      </c>
      <c r="C585" s="9" t="s">
        <v>485</v>
      </c>
      <c r="D585" s="9" t="s">
        <v>16</v>
      </c>
      <c r="E585" s="10" t="s">
        <v>14</v>
      </c>
      <c r="F585" s="6">
        <v>1284725.0</v>
      </c>
      <c r="G585" s="7">
        <v>9735.0</v>
      </c>
      <c r="H585" s="12" t="str">
        <f t="array" ref="H585">XLOOKUP(C:C,Sheet3!A:A,Sheet3!B:B)</f>
        <v>#N/A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1" t="s">
        <v>7</v>
      </c>
      <c r="B586" s="11" t="s">
        <v>13</v>
      </c>
      <c r="C586" s="9" t="s">
        <v>486</v>
      </c>
      <c r="D586" s="9" t="s">
        <v>48</v>
      </c>
      <c r="E586" s="9" t="s">
        <v>144</v>
      </c>
      <c r="F586" s="6">
        <v>738000.0</v>
      </c>
      <c r="G586" s="7">
        <v>0.0</v>
      </c>
      <c r="H586" s="12" t="str">
        <f t="array" ref="H586">XLOOKUP(C:C,Sheet3!A:A,Sheet3!B:B)</f>
        <v>#N/A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1" t="s">
        <v>12</v>
      </c>
      <c r="B587" s="11" t="s">
        <v>13</v>
      </c>
      <c r="C587" s="9" t="s">
        <v>486</v>
      </c>
      <c r="D587" s="9" t="s">
        <v>48</v>
      </c>
      <c r="E587" s="9" t="s">
        <v>49</v>
      </c>
      <c r="F587" s="6">
        <v>738000.0</v>
      </c>
      <c r="G587" s="7">
        <v>365918.0</v>
      </c>
      <c r="H587" s="12" t="str">
        <f t="array" ref="H587">XLOOKUP(C:C,Sheet3!A:A,Sheet3!B:B)</f>
        <v>#N/A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1" t="s">
        <v>12</v>
      </c>
      <c r="B588" s="11" t="s">
        <v>13</v>
      </c>
      <c r="C588" s="9" t="s">
        <v>487</v>
      </c>
      <c r="D588" s="9" t="s">
        <v>16</v>
      </c>
      <c r="E588" s="10" t="s">
        <v>14</v>
      </c>
      <c r="F588" s="6">
        <v>0.0</v>
      </c>
      <c r="G588" s="7">
        <v>0.0</v>
      </c>
      <c r="H588" s="12" t="str">
        <f t="array" ref="H588">XLOOKUP(C:C,Sheet3!A:A,Sheet3!B:B)</f>
        <v>#N/A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1" t="s">
        <v>12</v>
      </c>
      <c r="B589" s="11" t="s">
        <v>13</v>
      </c>
      <c r="C589" s="9" t="s">
        <v>488</v>
      </c>
      <c r="D589" s="9" t="s">
        <v>16</v>
      </c>
      <c r="E589" s="10" t="s">
        <v>14</v>
      </c>
      <c r="F589" s="6">
        <v>0.0</v>
      </c>
      <c r="G589" s="7">
        <v>0.0</v>
      </c>
      <c r="H589" s="12">
        <v>0.0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1" t="s">
        <v>12</v>
      </c>
      <c r="B590" s="11" t="s">
        <v>13</v>
      </c>
      <c r="C590" s="9" t="s">
        <v>489</v>
      </c>
      <c r="D590" s="9" t="s">
        <v>16</v>
      </c>
      <c r="E590" s="9" t="s">
        <v>49</v>
      </c>
      <c r="F590" s="6">
        <v>200000.0</v>
      </c>
      <c r="G590" s="7">
        <v>0.0</v>
      </c>
      <c r="H590" s="12" t="str">
        <f t="array" ref="H590">XLOOKUP(C:C,Sheet3!A:A,Sheet3!B:B)</f>
        <v>#N/A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1" t="s">
        <v>12</v>
      </c>
      <c r="B591" s="11" t="s">
        <v>13</v>
      </c>
      <c r="C591" s="9" t="s">
        <v>490</v>
      </c>
      <c r="D591" s="9" t="s">
        <v>16</v>
      </c>
      <c r="E591" s="10" t="s">
        <v>14</v>
      </c>
      <c r="F591" s="6">
        <v>0.0</v>
      </c>
      <c r="G591" s="7">
        <v>0.0</v>
      </c>
      <c r="H591" s="12">
        <v>0.0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1" t="s">
        <v>12</v>
      </c>
      <c r="B592" s="11" t="s">
        <v>8</v>
      </c>
      <c r="C592" s="9" t="s">
        <v>491</v>
      </c>
      <c r="D592" s="9" t="s">
        <v>16</v>
      </c>
      <c r="E592" s="10" t="s">
        <v>14</v>
      </c>
      <c r="F592" s="6">
        <v>0.0</v>
      </c>
      <c r="G592" s="7">
        <v>0.0</v>
      </c>
      <c r="H592" s="12">
        <v>0.0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1" t="s">
        <v>7</v>
      </c>
      <c r="B593" s="11" t="s">
        <v>13</v>
      </c>
      <c r="C593" s="9" t="s">
        <v>492</v>
      </c>
      <c r="D593" s="9" t="s">
        <v>32</v>
      </c>
      <c r="E593" s="9" t="s">
        <v>23</v>
      </c>
      <c r="F593" s="6">
        <v>3260000.0</v>
      </c>
      <c r="G593" s="7">
        <v>0.0</v>
      </c>
      <c r="H593" s="12" t="str">
        <f t="array" ref="H593">XLOOKUP(C:C,Sheet3!A:A,Sheet3!B:B)</f>
        <v>#N/A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1" t="s">
        <v>7</v>
      </c>
      <c r="B594" s="11" t="s">
        <v>8</v>
      </c>
      <c r="C594" s="9" t="s">
        <v>492</v>
      </c>
      <c r="D594" s="9" t="s">
        <v>32</v>
      </c>
      <c r="E594" s="10" t="s">
        <v>14</v>
      </c>
      <c r="F594" s="6">
        <v>0.0</v>
      </c>
      <c r="G594" s="7">
        <v>6432700.0</v>
      </c>
      <c r="H594" s="12" t="str">
        <f t="array" ref="H594">XLOOKUP(C:C,Sheet3!A:A,Sheet3!B:B)</f>
        <v>#N/A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1" t="s">
        <v>12</v>
      </c>
      <c r="B595" s="11" t="s">
        <v>13</v>
      </c>
      <c r="C595" s="9" t="s">
        <v>492</v>
      </c>
      <c r="D595" s="9" t="s">
        <v>32</v>
      </c>
      <c r="E595" s="9" t="s">
        <v>17</v>
      </c>
      <c r="F595" s="6">
        <v>3260000.0</v>
      </c>
      <c r="G595" s="7">
        <v>1090860.0</v>
      </c>
      <c r="H595" s="12" t="str">
        <f t="array" ref="H595">XLOOKUP(C:C,Sheet3!A:A,Sheet3!B:B)</f>
        <v>#N/A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1" t="s">
        <v>12</v>
      </c>
      <c r="B596" s="11" t="s">
        <v>13</v>
      </c>
      <c r="C596" s="9" t="s">
        <v>493</v>
      </c>
      <c r="D596" s="9" t="s">
        <v>16</v>
      </c>
      <c r="E596" s="10" t="s">
        <v>14</v>
      </c>
      <c r="F596" s="6">
        <v>0.0</v>
      </c>
      <c r="G596" s="7">
        <v>0.0</v>
      </c>
      <c r="H596" s="12">
        <v>0.0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1" t="s">
        <v>7</v>
      </c>
      <c r="B597" s="11" t="s">
        <v>13</v>
      </c>
      <c r="C597" s="9" t="s">
        <v>494</v>
      </c>
      <c r="D597" s="9" t="s">
        <v>32</v>
      </c>
      <c r="E597" s="9" t="s">
        <v>23</v>
      </c>
      <c r="F597" s="6">
        <v>320000.0</v>
      </c>
      <c r="G597" s="7">
        <v>0.0</v>
      </c>
      <c r="H597" s="12" t="str">
        <f t="array" ref="H597">XLOOKUP(C:C,Sheet3!A:A,Sheet3!B:B)</f>
        <v>#N/A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1" t="s">
        <v>12</v>
      </c>
      <c r="B598" s="11" t="s">
        <v>13</v>
      </c>
      <c r="C598" s="9" t="s">
        <v>494</v>
      </c>
      <c r="D598" s="9" t="s">
        <v>32</v>
      </c>
      <c r="E598" s="9" t="s">
        <v>17</v>
      </c>
      <c r="F598" s="6">
        <v>320000.0</v>
      </c>
      <c r="G598" s="7">
        <v>0.0</v>
      </c>
      <c r="H598" s="12" t="str">
        <f t="array" ref="H598">XLOOKUP(C:C,Sheet3!A:A,Sheet3!B:B)</f>
        <v>#N/A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1" t="s">
        <v>12</v>
      </c>
      <c r="B599" s="11" t="s">
        <v>13</v>
      </c>
      <c r="C599" s="9" t="s">
        <v>495</v>
      </c>
      <c r="D599" s="9" t="s">
        <v>16</v>
      </c>
      <c r="E599" s="10" t="s">
        <v>14</v>
      </c>
      <c r="F599" s="6">
        <v>0.0</v>
      </c>
      <c r="G599" s="7">
        <v>0.0</v>
      </c>
      <c r="H599" s="12">
        <v>0.0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1" t="s">
        <v>12</v>
      </c>
      <c r="B600" s="11" t="s">
        <v>13</v>
      </c>
      <c r="C600" s="9" t="s">
        <v>496</v>
      </c>
      <c r="D600" s="9" t="s">
        <v>16</v>
      </c>
      <c r="E600" s="10" t="s">
        <v>14</v>
      </c>
      <c r="F600" s="6">
        <v>0.0</v>
      </c>
      <c r="G600" s="7">
        <v>0.0</v>
      </c>
      <c r="H600" s="12">
        <v>0.0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1" t="s">
        <v>12</v>
      </c>
      <c r="B601" s="11" t="s">
        <v>8</v>
      </c>
      <c r="C601" s="9" t="s">
        <v>497</v>
      </c>
      <c r="D601" s="9" t="s">
        <v>48</v>
      </c>
      <c r="E601" s="9" t="s">
        <v>11</v>
      </c>
      <c r="F601" s="6">
        <v>1110000.0</v>
      </c>
      <c r="G601" s="7">
        <v>0.0</v>
      </c>
      <c r="H601" s="12" t="str">
        <f t="array" ref="H601">XLOOKUP(C:C,Sheet3!A:A,Sheet3!B:B)</f>
        <v>#N/A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1" t="s">
        <v>12</v>
      </c>
      <c r="B602" s="11" t="s">
        <v>13</v>
      </c>
      <c r="C602" s="9" t="s">
        <v>498</v>
      </c>
      <c r="D602" s="9" t="s">
        <v>16</v>
      </c>
      <c r="E602" s="10" t="s">
        <v>14</v>
      </c>
      <c r="F602" s="6">
        <v>0.0</v>
      </c>
      <c r="G602" s="7">
        <v>0.0</v>
      </c>
      <c r="H602" s="12">
        <v>0.0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1" t="s">
        <v>12</v>
      </c>
      <c r="B603" s="11" t="s">
        <v>13</v>
      </c>
      <c r="C603" s="9" t="s">
        <v>499</v>
      </c>
      <c r="D603" s="9" t="s">
        <v>16</v>
      </c>
      <c r="E603" s="10" t="s">
        <v>14</v>
      </c>
      <c r="F603" s="6">
        <v>0.0</v>
      </c>
      <c r="G603" s="7">
        <v>0.0</v>
      </c>
      <c r="H603" s="12">
        <v>0.0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1" t="s">
        <v>7</v>
      </c>
      <c r="B604" s="11" t="s">
        <v>13</v>
      </c>
      <c r="C604" s="9" t="s">
        <v>500</v>
      </c>
      <c r="D604" s="9" t="s">
        <v>10</v>
      </c>
      <c r="E604" s="10" t="s">
        <v>14</v>
      </c>
      <c r="F604" s="6">
        <v>0.0</v>
      </c>
      <c r="G604" s="7">
        <v>0.0</v>
      </c>
      <c r="H604" s="12" t="str">
        <f t="array" ref="H604">XLOOKUP(C:C,Sheet3!A:A,Sheet3!B:B)</f>
        <v>#N/A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1" t="s">
        <v>12</v>
      </c>
      <c r="B605" s="11" t="s">
        <v>13</v>
      </c>
      <c r="C605" s="9" t="s">
        <v>500</v>
      </c>
      <c r="D605" s="9" t="s">
        <v>10</v>
      </c>
      <c r="E605" s="10" t="s">
        <v>14</v>
      </c>
      <c r="F605" s="6">
        <v>0.0</v>
      </c>
      <c r="G605" s="7">
        <v>0.0</v>
      </c>
      <c r="H605" s="12" t="str">
        <f t="array" ref="H605">XLOOKUP(C:C,Sheet3!A:A,Sheet3!B:B)</f>
        <v>#N/A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1" t="s">
        <v>12</v>
      </c>
      <c r="B606" s="11" t="s">
        <v>13</v>
      </c>
      <c r="C606" s="9" t="s">
        <v>501</v>
      </c>
      <c r="D606" s="9" t="s">
        <v>419</v>
      </c>
      <c r="E606" s="9" t="s">
        <v>11</v>
      </c>
      <c r="F606" s="6">
        <v>350000.0</v>
      </c>
      <c r="G606" s="7">
        <v>0.0</v>
      </c>
      <c r="H606" s="12" t="str">
        <f t="array" ref="H606">XLOOKUP(C:C,Sheet3!A:A,Sheet3!B:B)</f>
        <v>#N/A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1" t="s">
        <v>7</v>
      </c>
      <c r="B607" s="11" t="s">
        <v>13</v>
      </c>
      <c r="C607" s="9" t="s">
        <v>502</v>
      </c>
      <c r="D607" s="9" t="s">
        <v>32</v>
      </c>
      <c r="E607" s="10" t="s">
        <v>14</v>
      </c>
      <c r="F607" s="6">
        <v>0.0</v>
      </c>
      <c r="G607" s="7">
        <v>0.0</v>
      </c>
      <c r="H607" s="12" t="str">
        <f t="array" ref="H607">XLOOKUP(C:C,Sheet3!A:A,Sheet3!B:B)</f>
        <v>#N/A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1" t="s">
        <v>12</v>
      </c>
      <c r="B608" s="11" t="s">
        <v>13</v>
      </c>
      <c r="C608" s="9" t="s">
        <v>502</v>
      </c>
      <c r="D608" s="9" t="s">
        <v>32</v>
      </c>
      <c r="E608" s="10" t="s">
        <v>14</v>
      </c>
      <c r="F608" s="6">
        <v>0.0</v>
      </c>
      <c r="G608" s="7">
        <v>0.0</v>
      </c>
      <c r="H608" s="12" t="str">
        <f t="array" ref="H608">XLOOKUP(C:C,Sheet3!A:A,Sheet3!B:B)</f>
        <v>#N/A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1" t="s">
        <v>12</v>
      </c>
      <c r="B609" s="11" t="s">
        <v>13</v>
      </c>
      <c r="C609" s="9" t="s">
        <v>503</v>
      </c>
      <c r="D609" s="9" t="s">
        <v>32</v>
      </c>
      <c r="E609" s="10" t="s">
        <v>14</v>
      </c>
      <c r="F609" s="6">
        <v>0.0</v>
      </c>
      <c r="G609" s="7">
        <v>0.0</v>
      </c>
      <c r="H609" s="12" t="str">
        <f t="array" ref="H609">XLOOKUP(C:C,Sheet3!A:A,Sheet3!B:B)</f>
        <v>#N/A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1" t="s">
        <v>12</v>
      </c>
      <c r="B610" s="11" t="s">
        <v>13</v>
      </c>
      <c r="C610" s="9" t="s">
        <v>504</v>
      </c>
      <c r="D610" s="9" t="s">
        <v>16</v>
      </c>
      <c r="E610" s="10" t="s">
        <v>14</v>
      </c>
      <c r="F610" s="6">
        <v>58000.0</v>
      </c>
      <c r="G610" s="7">
        <v>0.0</v>
      </c>
      <c r="H610" s="12">
        <v>0.0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1" t="s">
        <v>7</v>
      </c>
      <c r="B611" s="11" t="s">
        <v>13</v>
      </c>
      <c r="C611" s="9" t="s">
        <v>505</v>
      </c>
      <c r="D611" s="9" t="s">
        <v>16</v>
      </c>
      <c r="E611" s="9" t="s">
        <v>49</v>
      </c>
      <c r="F611" s="6">
        <v>100000.0</v>
      </c>
      <c r="G611" s="7">
        <v>0.0</v>
      </c>
      <c r="H611" s="12" t="str">
        <f t="array" ref="H611">XLOOKUP(C:C,Sheet3!A:A,Sheet3!B:B)</f>
        <v>#N/A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1" t="s">
        <v>12</v>
      </c>
      <c r="B612" s="11" t="s">
        <v>13</v>
      </c>
      <c r="C612" s="9" t="s">
        <v>505</v>
      </c>
      <c r="D612" s="9" t="s">
        <v>16</v>
      </c>
      <c r="E612" s="9" t="s">
        <v>49</v>
      </c>
      <c r="F612" s="6">
        <v>150000.0</v>
      </c>
      <c r="G612" s="7">
        <v>0.0</v>
      </c>
      <c r="H612" s="12" t="str">
        <f t="array" ref="H612">XLOOKUP(C:C,Sheet3!A:A,Sheet3!B:B)</f>
        <v>#N/A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1" t="s">
        <v>7</v>
      </c>
      <c r="B613" s="11" t="s">
        <v>13</v>
      </c>
      <c r="C613" s="9" t="s">
        <v>506</v>
      </c>
      <c r="D613" s="9" t="s">
        <v>32</v>
      </c>
      <c r="E613" s="9" t="s">
        <v>144</v>
      </c>
      <c r="F613" s="6">
        <v>1600000.0</v>
      </c>
      <c r="G613" s="7">
        <v>0.0</v>
      </c>
      <c r="H613" s="12" t="str">
        <f t="array" ref="H613">XLOOKUP(C:C,Sheet3!A:A,Sheet3!B:B)</f>
        <v>#N/A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1" t="s">
        <v>12</v>
      </c>
      <c r="B614" s="11" t="s">
        <v>13</v>
      </c>
      <c r="C614" s="9" t="s">
        <v>506</v>
      </c>
      <c r="D614" s="9" t="s">
        <v>32</v>
      </c>
      <c r="E614" s="9" t="s">
        <v>49</v>
      </c>
      <c r="F614" s="6">
        <v>1695000.0</v>
      </c>
      <c r="G614" s="7">
        <v>1281095.0</v>
      </c>
      <c r="H614" s="12" t="str">
        <f t="array" ref="H614">XLOOKUP(C:C,Sheet3!A:A,Sheet3!B:B)</f>
        <v>#N/A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1" t="s">
        <v>12</v>
      </c>
      <c r="B615" s="11" t="s">
        <v>13</v>
      </c>
      <c r="C615" s="9" t="s">
        <v>507</v>
      </c>
      <c r="D615" s="9" t="s">
        <v>32</v>
      </c>
      <c r="E615" s="10" t="s">
        <v>14</v>
      </c>
      <c r="F615" s="6">
        <v>0.0</v>
      </c>
      <c r="G615" s="7">
        <v>3100000.0</v>
      </c>
      <c r="H615" s="12" t="str">
        <f t="array" ref="H615">XLOOKUP(C:C,Sheet3!A:A,Sheet3!B:B)</f>
        <v>#N/A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1" t="s">
        <v>7</v>
      </c>
      <c r="B616" s="11" t="s">
        <v>13</v>
      </c>
      <c r="C616" s="9" t="s">
        <v>508</v>
      </c>
      <c r="D616" s="9" t="s">
        <v>32</v>
      </c>
      <c r="E616" s="9" t="s">
        <v>11</v>
      </c>
      <c r="F616" s="6">
        <v>0.0</v>
      </c>
      <c r="G616" s="7">
        <v>0.0</v>
      </c>
      <c r="H616" s="12" t="str">
        <f t="array" ref="H616">XLOOKUP(C:C,Sheet3!A:A,Sheet3!B:B)</f>
        <v>#N/A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1" t="s">
        <v>12</v>
      </c>
      <c r="B617" s="11" t="s">
        <v>13</v>
      </c>
      <c r="C617" s="9" t="s">
        <v>508</v>
      </c>
      <c r="D617" s="9" t="s">
        <v>32</v>
      </c>
      <c r="E617" s="9" t="s">
        <v>11</v>
      </c>
      <c r="F617" s="6">
        <v>5000000.0</v>
      </c>
      <c r="G617" s="7">
        <v>2587528.0</v>
      </c>
      <c r="H617" s="12" t="str">
        <f t="array" ref="H617">XLOOKUP(C:C,Sheet3!A:A,Sheet3!B:B)</f>
        <v>#N/A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1" t="s">
        <v>12</v>
      </c>
      <c r="B618" s="11" t="s">
        <v>13</v>
      </c>
      <c r="C618" s="9" t="s">
        <v>509</v>
      </c>
      <c r="D618" s="9" t="s">
        <v>16</v>
      </c>
      <c r="E618" s="10" t="s">
        <v>14</v>
      </c>
      <c r="F618" s="6">
        <v>0.0</v>
      </c>
      <c r="G618" s="7">
        <v>0.0</v>
      </c>
      <c r="H618" s="12">
        <v>0.0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1" t="s">
        <v>12</v>
      </c>
      <c r="B619" s="11" t="s">
        <v>13</v>
      </c>
      <c r="C619" s="9" t="s">
        <v>510</v>
      </c>
      <c r="D619" s="9" t="s">
        <v>16</v>
      </c>
      <c r="E619" s="9" t="s">
        <v>49</v>
      </c>
      <c r="F619" s="6">
        <v>0.0</v>
      </c>
      <c r="G619" s="7">
        <v>0.0</v>
      </c>
      <c r="H619" s="12">
        <v>0.0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1" t="s">
        <v>7</v>
      </c>
      <c r="B620" s="11" t="s">
        <v>13</v>
      </c>
      <c r="C620" s="9" t="s">
        <v>511</v>
      </c>
      <c r="D620" s="9" t="s">
        <v>16</v>
      </c>
      <c r="E620" s="9" t="s">
        <v>23</v>
      </c>
      <c r="F620" s="6">
        <v>2000000.0</v>
      </c>
      <c r="G620" s="7">
        <v>0.0</v>
      </c>
      <c r="H620" s="12">
        <v>0.0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1" t="s">
        <v>12</v>
      </c>
      <c r="B621" s="11" t="s">
        <v>13</v>
      </c>
      <c r="C621" s="9" t="s">
        <v>511</v>
      </c>
      <c r="D621" s="9" t="s">
        <v>16</v>
      </c>
      <c r="E621" s="9" t="s">
        <v>17</v>
      </c>
      <c r="F621" s="6">
        <v>2000000.0</v>
      </c>
      <c r="G621" s="7">
        <v>622229.5</v>
      </c>
      <c r="H621" s="12">
        <v>0.0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1" t="s">
        <v>12</v>
      </c>
      <c r="B622" s="11" t="s">
        <v>13</v>
      </c>
      <c r="C622" s="9" t="s">
        <v>512</v>
      </c>
      <c r="D622" s="9" t="s">
        <v>16</v>
      </c>
      <c r="E622" s="10" t="s">
        <v>14</v>
      </c>
      <c r="F622" s="6">
        <v>0.0</v>
      </c>
      <c r="G622" s="7">
        <v>697180.0</v>
      </c>
      <c r="H622" s="12">
        <v>0.0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1" t="s">
        <v>12</v>
      </c>
      <c r="B623" s="11" t="s">
        <v>13</v>
      </c>
      <c r="C623" s="9" t="s">
        <v>513</v>
      </c>
      <c r="D623" s="9" t="s">
        <v>16</v>
      </c>
      <c r="E623" s="9" t="s">
        <v>84</v>
      </c>
      <c r="F623" s="6">
        <v>310000.0</v>
      </c>
      <c r="G623" s="7">
        <v>0.0</v>
      </c>
      <c r="H623" s="12" t="str">
        <f t="array" ref="H623">XLOOKUP(C:C,Sheet3!A:A,Sheet3!B:B)</f>
        <v>#N/A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1" t="s">
        <v>7</v>
      </c>
      <c r="B624" s="11" t="s">
        <v>13</v>
      </c>
      <c r="C624" s="9" t="s">
        <v>514</v>
      </c>
      <c r="D624" s="9" t="s">
        <v>19</v>
      </c>
      <c r="E624" s="9" t="s">
        <v>144</v>
      </c>
      <c r="F624" s="6">
        <v>200000.0</v>
      </c>
      <c r="G624" s="7">
        <v>0.0</v>
      </c>
      <c r="H624" s="12" t="str">
        <f t="array" ref="H624">XLOOKUP(C:C,Sheet3!A:A,Sheet3!B:B)</f>
        <v>#N/A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1" t="s">
        <v>12</v>
      </c>
      <c r="B625" s="11" t="s">
        <v>13</v>
      </c>
      <c r="C625" s="9" t="s">
        <v>514</v>
      </c>
      <c r="D625" s="9" t="s">
        <v>19</v>
      </c>
      <c r="E625" s="9" t="s">
        <v>17</v>
      </c>
      <c r="F625" s="6">
        <v>500000.0</v>
      </c>
      <c r="G625" s="7">
        <v>1.0272E7</v>
      </c>
      <c r="H625" s="12" t="str">
        <f t="array" ref="H625">XLOOKUP(C:C,Sheet3!A:A,Sheet3!B:B)</f>
        <v>#N/A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1" t="s">
        <v>7</v>
      </c>
      <c r="B626" s="11" t="s">
        <v>13</v>
      </c>
      <c r="C626" s="9" t="s">
        <v>515</v>
      </c>
      <c r="D626" s="9" t="s">
        <v>26</v>
      </c>
      <c r="E626" s="10" t="s">
        <v>14</v>
      </c>
      <c r="F626" s="6">
        <v>0.0</v>
      </c>
      <c r="G626" s="7">
        <v>0.0</v>
      </c>
      <c r="H626" s="12" t="str">
        <f t="array" ref="H626">XLOOKUP(C:C,Sheet3!A:A,Sheet3!B:B)</f>
        <v>#N/A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1" t="s">
        <v>12</v>
      </c>
      <c r="B627" s="11" t="s">
        <v>13</v>
      </c>
      <c r="C627" s="9" t="s">
        <v>515</v>
      </c>
      <c r="D627" s="9" t="s">
        <v>26</v>
      </c>
      <c r="E627" s="9" t="s">
        <v>17</v>
      </c>
      <c r="F627" s="6">
        <v>0.0</v>
      </c>
      <c r="G627" s="7">
        <v>0.0</v>
      </c>
      <c r="H627" s="12" t="str">
        <f t="array" ref="H627">XLOOKUP(C:C,Sheet3!A:A,Sheet3!B:B)</f>
        <v>#N/A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1" t="s">
        <v>12</v>
      </c>
      <c r="B628" s="11" t="s">
        <v>8</v>
      </c>
      <c r="C628" s="9" t="s">
        <v>516</v>
      </c>
      <c r="D628" s="9" t="s">
        <v>16</v>
      </c>
      <c r="E628" s="10" t="s">
        <v>14</v>
      </c>
      <c r="F628" s="6">
        <v>0.0</v>
      </c>
      <c r="G628" s="7">
        <v>0.0</v>
      </c>
      <c r="H628" s="12">
        <v>0.0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1" t="s">
        <v>12</v>
      </c>
      <c r="B629" s="11" t="s">
        <v>13</v>
      </c>
      <c r="C629" s="9" t="s">
        <v>517</v>
      </c>
      <c r="D629" s="9" t="s">
        <v>16</v>
      </c>
      <c r="E629" s="10" t="s">
        <v>14</v>
      </c>
      <c r="F629" s="6">
        <v>0.0</v>
      </c>
      <c r="G629" s="7">
        <v>0.0</v>
      </c>
      <c r="H629" s="12">
        <v>0.0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1" t="s">
        <v>7</v>
      </c>
      <c r="B630" s="11" t="s">
        <v>13</v>
      </c>
      <c r="C630" s="9" t="s">
        <v>518</v>
      </c>
      <c r="D630" s="9" t="s">
        <v>83</v>
      </c>
      <c r="E630" s="9" t="s">
        <v>23</v>
      </c>
      <c r="F630" s="6">
        <v>4100000.0</v>
      </c>
      <c r="G630" s="7">
        <v>0.0</v>
      </c>
      <c r="H630" s="12" t="str">
        <f t="array" ref="H630">XLOOKUP(C:C,Sheet3!A:A,Sheet3!B:B)</f>
        <v>#N/A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1" t="s">
        <v>12</v>
      </c>
      <c r="B631" s="11" t="s">
        <v>13</v>
      </c>
      <c r="C631" s="9" t="s">
        <v>518</v>
      </c>
      <c r="D631" s="9" t="s">
        <v>83</v>
      </c>
      <c r="E631" s="9" t="s">
        <v>17</v>
      </c>
      <c r="F631" s="6">
        <v>5062000.0</v>
      </c>
      <c r="G631" s="7">
        <v>3525492.0</v>
      </c>
      <c r="H631" s="12" t="str">
        <f t="array" ref="H631">XLOOKUP(C:C,Sheet3!A:A,Sheet3!B:B)</f>
        <v>#N/A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1" t="s">
        <v>12</v>
      </c>
      <c r="B632" s="11" t="s">
        <v>13</v>
      </c>
      <c r="C632" s="9" t="s">
        <v>519</v>
      </c>
      <c r="D632" s="9" t="s">
        <v>83</v>
      </c>
      <c r="E632" s="10" t="s">
        <v>14</v>
      </c>
      <c r="F632" s="6">
        <v>0.0</v>
      </c>
      <c r="G632" s="7">
        <v>4399000.0</v>
      </c>
      <c r="H632" s="12" t="str">
        <f t="array" ref="H632">XLOOKUP(C:C,Sheet3!A:A,Sheet3!B:B)</f>
        <v>#N/A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1" t="s">
        <v>7</v>
      </c>
      <c r="B633" s="11" t="s">
        <v>13</v>
      </c>
      <c r="C633" s="9" t="s">
        <v>520</v>
      </c>
      <c r="D633" s="9" t="s">
        <v>16</v>
      </c>
      <c r="E633" s="9" t="s">
        <v>173</v>
      </c>
      <c r="F633" s="6">
        <v>1000000.0</v>
      </c>
      <c r="G633" s="7">
        <v>0.0</v>
      </c>
      <c r="H633" s="12">
        <v>0.0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1" t="s">
        <v>12</v>
      </c>
      <c r="B634" s="11" t="s">
        <v>13</v>
      </c>
      <c r="C634" s="9" t="s">
        <v>520</v>
      </c>
      <c r="D634" s="9" t="s">
        <v>16</v>
      </c>
      <c r="E634" s="9" t="s">
        <v>11</v>
      </c>
      <c r="F634" s="6">
        <v>1000000.0</v>
      </c>
      <c r="G634" s="7">
        <v>207269.0</v>
      </c>
      <c r="H634" s="12">
        <v>0.0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1" t="s">
        <v>12</v>
      </c>
      <c r="B635" s="11" t="s">
        <v>13</v>
      </c>
      <c r="C635" s="9" t="s">
        <v>521</v>
      </c>
      <c r="D635" s="9" t="s">
        <v>16</v>
      </c>
      <c r="E635" s="10" t="s">
        <v>14</v>
      </c>
      <c r="F635" s="6">
        <v>0.0</v>
      </c>
      <c r="G635" s="7">
        <v>0.0</v>
      </c>
      <c r="H635" s="12">
        <v>0.0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1" t="s">
        <v>12</v>
      </c>
      <c r="B636" s="11" t="s">
        <v>13</v>
      </c>
      <c r="C636" s="9" t="s">
        <v>522</v>
      </c>
      <c r="D636" s="9" t="s">
        <v>16</v>
      </c>
      <c r="E636" s="10" t="s">
        <v>14</v>
      </c>
      <c r="F636" s="6">
        <v>0.0</v>
      </c>
      <c r="G636" s="7">
        <v>0.0</v>
      </c>
      <c r="H636" s="12">
        <v>0.0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1" t="s">
        <v>12</v>
      </c>
      <c r="B637" s="11" t="s">
        <v>13</v>
      </c>
      <c r="C637" s="9" t="s">
        <v>523</v>
      </c>
      <c r="D637" s="9" t="s">
        <v>16</v>
      </c>
      <c r="E637" s="9" t="s">
        <v>187</v>
      </c>
      <c r="F637" s="6">
        <v>2500000.0</v>
      </c>
      <c r="G637" s="7">
        <v>1454356.0</v>
      </c>
      <c r="H637" s="12" t="str">
        <f t="array" ref="H637">XLOOKUP(C:C,Sheet3!A:A,Sheet3!B:B)</f>
        <v>#N/A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1" t="s">
        <v>12</v>
      </c>
      <c r="B638" s="11" t="s">
        <v>13</v>
      </c>
      <c r="C638" s="9" t="s">
        <v>524</v>
      </c>
      <c r="D638" s="9" t="s">
        <v>16</v>
      </c>
      <c r="E638" s="10" t="s">
        <v>14</v>
      </c>
      <c r="F638" s="6">
        <v>0.0</v>
      </c>
      <c r="G638" s="7">
        <v>700000.0</v>
      </c>
      <c r="H638" s="12">
        <v>0.0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1" t="s">
        <v>12</v>
      </c>
      <c r="B639" s="11" t="s">
        <v>13</v>
      </c>
      <c r="C639" s="9" t="s">
        <v>525</v>
      </c>
      <c r="D639" s="9" t="s">
        <v>16</v>
      </c>
      <c r="E639" s="10" t="s">
        <v>14</v>
      </c>
      <c r="F639" s="6">
        <v>0.0</v>
      </c>
      <c r="G639" s="7">
        <v>0.0</v>
      </c>
      <c r="H639" s="12">
        <v>0.0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1" t="s">
        <v>7</v>
      </c>
      <c r="B640" s="11" t="s">
        <v>13</v>
      </c>
      <c r="C640" s="9" t="s">
        <v>526</v>
      </c>
      <c r="D640" s="9" t="s">
        <v>88</v>
      </c>
      <c r="E640" s="9" t="s">
        <v>144</v>
      </c>
      <c r="F640" s="6">
        <v>850000.0</v>
      </c>
      <c r="G640" s="7">
        <v>0.0</v>
      </c>
      <c r="H640" s="12" t="str">
        <f t="array" ref="H640">XLOOKUP(C:C,Sheet3!A:A,Sheet3!B:B)</f>
        <v>#N/A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1" t="s">
        <v>12</v>
      </c>
      <c r="B641" s="11" t="s">
        <v>13</v>
      </c>
      <c r="C641" s="9" t="s">
        <v>526</v>
      </c>
      <c r="D641" s="9" t="s">
        <v>88</v>
      </c>
      <c r="E641" s="9" t="s">
        <v>49</v>
      </c>
      <c r="F641" s="6">
        <v>850000.0</v>
      </c>
      <c r="G641" s="7">
        <v>266687.0</v>
      </c>
      <c r="H641" s="12" t="str">
        <f t="array" ref="H641">XLOOKUP(C:C,Sheet3!A:A,Sheet3!B:B)</f>
        <v>#N/A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1" t="s">
        <v>7</v>
      </c>
      <c r="B642" s="11" t="s">
        <v>13</v>
      </c>
      <c r="C642" s="9" t="s">
        <v>527</v>
      </c>
      <c r="D642" s="9" t="s">
        <v>88</v>
      </c>
      <c r="E642" s="9" t="s">
        <v>223</v>
      </c>
      <c r="F642" s="6">
        <v>1.2025E7</v>
      </c>
      <c r="G642" s="7">
        <v>0.0</v>
      </c>
      <c r="H642" s="12" t="str">
        <f t="array" ref="H642">XLOOKUP(C:C,Sheet3!A:A,Sheet3!B:B)</f>
        <v>#N/A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1" t="s">
        <v>12</v>
      </c>
      <c r="B643" s="11" t="s">
        <v>13</v>
      </c>
      <c r="C643" s="9" t="s">
        <v>527</v>
      </c>
      <c r="D643" s="9" t="s">
        <v>88</v>
      </c>
      <c r="E643" s="9" t="s">
        <v>96</v>
      </c>
      <c r="F643" s="6">
        <v>1.2025E7</v>
      </c>
      <c r="G643" s="7">
        <v>585691.0</v>
      </c>
      <c r="H643" s="12" t="str">
        <f t="array" ref="H643">XLOOKUP(C:C,Sheet3!A:A,Sheet3!B:B)</f>
        <v>#N/A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1" t="s">
        <v>12</v>
      </c>
      <c r="B644" s="11" t="s">
        <v>13</v>
      </c>
      <c r="C644" s="9" t="s">
        <v>528</v>
      </c>
      <c r="D644" s="9" t="s">
        <v>16</v>
      </c>
      <c r="E644" s="10" t="s">
        <v>14</v>
      </c>
      <c r="F644" s="6">
        <v>0.0</v>
      </c>
      <c r="G644" s="7">
        <v>708000.0</v>
      </c>
      <c r="H644" s="12" t="str">
        <f t="array" ref="H644">XLOOKUP(C:C,Sheet3!A:A,Sheet3!B:B)</f>
        <v>#N/A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1" t="s">
        <v>12</v>
      </c>
      <c r="B645" s="11" t="s">
        <v>13</v>
      </c>
      <c r="C645" s="9" t="s">
        <v>529</v>
      </c>
      <c r="D645" s="9" t="s">
        <v>16</v>
      </c>
      <c r="E645" s="9" t="s">
        <v>55</v>
      </c>
      <c r="F645" s="6">
        <v>3450000.0</v>
      </c>
      <c r="G645" s="7">
        <v>1041416.0</v>
      </c>
      <c r="H645" s="12" t="str">
        <f t="array" ref="H645">XLOOKUP(C:C,Sheet3!A:A,Sheet3!B:B)</f>
        <v>#N/A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1" t="s">
        <v>12</v>
      </c>
      <c r="B646" s="11" t="s">
        <v>8</v>
      </c>
      <c r="C646" s="9" t="s">
        <v>529</v>
      </c>
      <c r="D646" s="9" t="s">
        <v>16</v>
      </c>
      <c r="E646" s="9" t="s">
        <v>55</v>
      </c>
      <c r="F646" s="6">
        <v>3000000.0</v>
      </c>
      <c r="G646" s="7">
        <v>0.0</v>
      </c>
      <c r="H646" s="12" t="str">
        <f t="array" ref="H646">XLOOKUP(C:C,Sheet3!A:A,Sheet3!B:B)</f>
        <v>#N/A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1" t="s">
        <v>12</v>
      </c>
      <c r="B647" s="11" t="s">
        <v>13</v>
      </c>
      <c r="C647" s="9" t="s">
        <v>530</v>
      </c>
      <c r="D647" s="9" t="s">
        <v>16</v>
      </c>
      <c r="E647" s="10" t="s">
        <v>14</v>
      </c>
      <c r="F647" s="6">
        <v>0.0</v>
      </c>
      <c r="G647" s="7">
        <v>0.0</v>
      </c>
      <c r="H647" s="12">
        <v>0.0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1" t="s">
        <v>12</v>
      </c>
      <c r="B648" s="11" t="s">
        <v>13</v>
      </c>
      <c r="C648" s="9" t="s">
        <v>531</v>
      </c>
      <c r="D648" s="9" t="s">
        <v>16</v>
      </c>
      <c r="E648" s="10" t="s">
        <v>14</v>
      </c>
      <c r="F648" s="6">
        <v>82000.0</v>
      </c>
      <c r="G648" s="7">
        <v>0.0</v>
      </c>
      <c r="H648" s="12" t="str">
        <f t="array" ref="H648">XLOOKUP(C:C,Sheet3!A:A,Sheet3!B:B)</f>
        <v>#N/A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1" t="s">
        <v>12</v>
      </c>
      <c r="B649" s="11" t="s">
        <v>13</v>
      </c>
      <c r="C649" s="9" t="s">
        <v>532</v>
      </c>
      <c r="D649" s="9" t="s">
        <v>16</v>
      </c>
      <c r="E649" s="10" t="s">
        <v>14</v>
      </c>
      <c r="F649" s="6">
        <v>0.0</v>
      </c>
      <c r="G649" s="7">
        <v>0.0</v>
      </c>
      <c r="H649" s="12">
        <v>0.0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1" t="s">
        <v>7</v>
      </c>
      <c r="B650" s="11" t="s">
        <v>8</v>
      </c>
      <c r="C650" s="9" t="s">
        <v>533</v>
      </c>
      <c r="D650" s="9" t="s">
        <v>48</v>
      </c>
      <c r="E650" s="9" t="s">
        <v>17</v>
      </c>
      <c r="F650" s="6">
        <v>1285000.0</v>
      </c>
      <c r="G650" s="7">
        <v>0.0</v>
      </c>
      <c r="H650" s="12" t="str">
        <f t="array" ref="H650">XLOOKUP(C:C,Sheet3!A:A,Sheet3!B:B)</f>
        <v>#N/A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1" t="s">
        <v>12</v>
      </c>
      <c r="B651" s="11" t="s">
        <v>8</v>
      </c>
      <c r="C651" s="9" t="s">
        <v>533</v>
      </c>
      <c r="D651" s="9" t="s">
        <v>48</v>
      </c>
      <c r="E651" s="9" t="s">
        <v>11</v>
      </c>
      <c r="F651" s="6">
        <v>1516000.0</v>
      </c>
      <c r="G651" s="7">
        <v>634132.0</v>
      </c>
      <c r="H651" s="12" t="str">
        <f t="array" ref="H651">XLOOKUP(C:C,Sheet3!A:A,Sheet3!B:B)</f>
        <v>#N/A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1" t="s">
        <v>12</v>
      </c>
      <c r="B652" s="11" t="s">
        <v>13</v>
      </c>
      <c r="C652" s="9" t="s">
        <v>533</v>
      </c>
      <c r="D652" s="9" t="s">
        <v>48</v>
      </c>
      <c r="E652" s="10" t="s">
        <v>14</v>
      </c>
      <c r="F652" s="6">
        <v>781000.0</v>
      </c>
      <c r="G652" s="7">
        <v>0.0</v>
      </c>
      <c r="H652" s="12" t="str">
        <f t="array" ref="H652">XLOOKUP(C:C,Sheet3!A:A,Sheet3!B:B)</f>
        <v>#N/A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1" t="s">
        <v>12</v>
      </c>
      <c r="B653" s="11" t="s">
        <v>13</v>
      </c>
      <c r="C653" s="9" t="s">
        <v>534</v>
      </c>
      <c r="D653" s="9" t="s">
        <v>16</v>
      </c>
      <c r="E653" s="10" t="s">
        <v>14</v>
      </c>
      <c r="F653" s="6">
        <v>0.0</v>
      </c>
      <c r="G653" s="7">
        <v>0.0</v>
      </c>
      <c r="H653" s="12">
        <v>0.0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1" t="s">
        <v>12</v>
      </c>
      <c r="B654" s="11" t="s">
        <v>13</v>
      </c>
      <c r="C654" s="9" t="s">
        <v>535</v>
      </c>
      <c r="D654" s="9" t="s">
        <v>16</v>
      </c>
      <c r="E654" s="9" t="s">
        <v>49</v>
      </c>
      <c r="F654" s="6">
        <v>2000000.0</v>
      </c>
      <c r="G654" s="7">
        <v>530889.57</v>
      </c>
      <c r="H654" s="12" t="str">
        <f t="array" ref="H654">XLOOKUP(C:C,Sheet3!A:A,Sheet3!B:B)</f>
        <v>#N/A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1" t="s">
        <v>12</v>
      </c>
      <c r="B655" s="11" t="s">
        <v>13</v>
      </c>
      <c r="C655" s="9" t="s">
        <v>536</v>
      </c>
      <c r="D655" s="9" t="s">
        <v>16</v>
      </c>
      <c r="E655" s="10" t="s">
        <v>14</v>
      </c>
      <c r="F655" s="6">
        <v>264000.0</v>
      </c>
      <c r="G655" s="7">
        <v>615587.0</v>
      </c>
      <c r="H655" s="12">
        <v>0.0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1" t="s">
        <v>12</v>
      </c>
      <c r="B656" s="11" t="s">
        <v>13</v>
      </c>
      <c r="C656" s="9" t="s">
        <v>537</v>
      </c>
      <c r="D656" s="9" t="s">
        <v>16</v>
      </c>
      <c r="E656" s="10" t="s">
        <v>14</v>
      </c>
      <c r="F656" s="6">
        <v>0.0</v>
      </c>
      <c r="G656" s="7">
        <v>0.0</v>
      </c>
      <c r="H656" s="12">
        <v>0.0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1" t="s">
        <v>12</v>
      </c>
      <c r="B657" s="11" t="s">
        <v>13</v>
      </c>
      <c r="C657" s="9" t="s">
        <v>538</v>
      </c>
      <c r="D657" s="9" t="s">
        <v>16</v>
      </c>
      <c r="E657" s="10" t="s">
        <v>14</v>
      </c>
      <c r="F657" s="6">
        <v>0.0</v>
      </c>
      <c r="G657" s="7">
        <v>0.0</v>
      </c>
      <c r="H657" s="12">
        <v>0.0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1" t="s">
        <v>12</v>
      </c>
      <c r="B658" s="11" t="s">
        <v>13</v>
      </c>
      <c r="C658" s="9" t="s">
        <v>539</v>
      </c>
      <c r="D658" s="9" t="s">
        <v>10</v>
      </c>
      <c r="E658" s="10" t="s">
        <v>14</v>
      </c>
      <c r="F658" s="6">
        <v>0.0</v>
      </c>
      <c r="G658" s="7">
        <v>0.0</v>
      </c>
      <c r="H658" s="12" t="str">
        <f t="array" ref="H658">XLOOKUP(C:C,Sheet3!A:A,Sheet3!B:B)</f>
        <v>#N/A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1" t="s">
        <v>12</v>
      </c>
      <c r="B659" s="11" t="s">
        <v>8</v>
      </c>
      <c r="C659" s="9" t="s">
        <v>539</v>
      </c>
      <c r="D659" s="9" t="s">
        <v>10</v>
      </c>
      <c r="E659" s="10" t="s">
        <v>14</v>
      </c>
      <c r="F659" s="6">
        <v>0.0</v>
      </c>
      <c r="G659" s="7">
        <v>0.0</v>
      </c>
      <c r="H659" s="12" t="str">
        <f t="array" ref="H659">XLOOKUP(C:C,Sheet3!A:A,Sheet3!B:B)</f>
        <v>#N/A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1" t="s">
        <v>12</v>
      </c>
      <c r="B660" s="11" t="s">
        <v>13</v>
      </c>
      <c r="C660" s="9" t="s">
        <v>540</v>
      </c>
      <c r="D660" s="9" t="s">
        <v>10</v>
      </c>
      <c r="E660" s="10" t="s">
        <v>14</v>
      </c>
      <c r="F660" s="6">
        <v>0.0</v>
      </c>
      <c r="G660" s="7">
        <v>0.0</v>
      </c>
      <c r="H660" s="12" t="str">
        <f t="array" ref="H660">XLOOKUP(C:C,Sheet3!A:A,Sheet3!B:B)</f>
        <v>#N/A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1" t="s">
        <v>12</v>
      </c>
      <c r="B661" s="11" t="s">
        <v>13</v>
      </c>
      <c r="C661" s="9" t="s">
        <v>541</v>
      </c>
      <c r="D661" s="9" t="s">
        <v>32</v>
      </c>
      <c r="E661" s="9" t="s">
        <v>49</v>
      </c>
      <c r="F661" s="6">
        <v>450000.0</v>
      </c>
      <c r="G661" s="7">
        <v>0.0</v>
      </c>
      <c r="H661" s="12" t="str">
        <f t="array" ref="H661">XLOOKUP(C:C,Sheet3!A:A,Sheet3!B:B)</f>
        <v>#N/A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1" t="s">
        <v>12</v>
      </c>
      <c r="B662" s="11" t="s">
        <v>13</v>
      </c>
      <c r="C662" s="9" t="s">
        <v>542</v>
      </c>
      <c r="D662" s="9" t="s">
        <v>16</v>
      </c>
      <c r="E662" s="10" t="s">
        <v>14</v>
      </c>
      <c r="F662" s="6">
        <v>0.0</v>
      </c>
      <c r="G662" s="7">
        <v>0.0</v>
      </c>
      <c r="H662" s="12" t="str">
        <f t="array" ref="H662">XLOOKUP(C:C,Sheet3!A:A,Sheet3!B:B)</f>
        <v>#N/A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1" t="s">
        <v>12</v>
      </c>
      <c r="B663" s="11" t="s">
        <v>8</v>
      </c>
      <c r="C663" s="9" t="s">
        <v>543</v>
      </c>
      <c r="D663" s="9" t="s">
        <v>16</v>
      </c>
      <c r="E663" s="9" t="s">
        <v>49</v>
      </c>
      <c r="F663" s="6">
        <v>15000.0</v>
      </c>
      <c r="G663" s="7">
        <v>4661.0</v>
      </c>
      <c r="H663" s="12" t="str">
        <f t="array" ref="H663">XLOOKUP(C:C,Sheet3!A:A,Sheet3!B:B)</f>
        <v>#N/A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1" t="s">
        <v>12</v>
      </c>
      <c r="B664" s="11" t="s">
        <v>13</v>
      </c>
      <c r="C664" s="9" t="s">
        <v>543</v>
      </c>
      <c r="D664" s="9" t="s">
        <v>16</v>
      </c>
      <c r="E664" s="10" t="s">
        <v>14</v>
      </c>
      <c r="F664" s="6">
        <v>8000.0</v>
      </c>
      <c r="G664" s="7">
        <v>0.0</v>
      </c>
      <c r="H664" s="12" t="str">
        <f t="array" ref="H664">XLOOKUP(C:C,Sheet3!A:A,Sheet3!B:B)</f>
        <v>#N/A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1" t="s">
        <v>12</v>
      </c>
      <c r="B665" s="11" t="s">
        <v>13</v>
      </c>
      <c r="C665" s="9" t="s">
        <v>544</v>
      </c>
      <c r="D665" s="9" t="s">
        <v>16</v>
      </c>
      <c r="E665" s="10" t="s">
        <v>14</v>
      </c>
      <c r="F665" s="6">
        <v>0.0</v>
      </c>
      <c r="G665" s="7">
        <v>0.0</v>
      </c>
      <c r="H665" s="12">
        <v>0.0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1" t="s">
        <v>7</v>
      </c>
      <c r="B666" s="11" t="s">
        <v>13</v>
      </c>
      <c r="C666" s="9" t="s">
        <v>545</v>
      </c>
      <c r="D666" s="9" t="s">
        <v>88</v>
      </c>
      <c r="E666" s="10" t="s">
        <v>14</v>
      </c>
      <c r="F666" s="6">
        <v>0.0</v>
      </c>
      <c r="G666" s="7">
        <v>0.0</v>
      </c>
      <c r="H666" s="12" t="str">
        <f t="array" ref="H666">XLOOKUP(C:C,Sheet3!A:A,Sheet3!B:B)</f>
        <v>#N/A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1" t="s">
        <v>12</v>
      </c>
      <c r="B667" s="11" t="s">
        <v>13</v>
      </c>
      <c r="C667" s="9" t="s">
        <v>545</v>
      </c>
      <c r="D667" s="9" t="s">
        <v>88</v>
      </c>
      <c r="E667" s="10" t="s">
        <v>14</v>
      </c>
      <c r="F667" s="6">
        <v>0.0</v>
      </c>
      <c r="G667" s="7">
        <v>0.0</v>
      </c>
      <c r="H667" s="12" t="str">
        <f t="array" ref="H667">XLOOKUP(C:C,Sheet3!A:A,Sheet3!B:B)</f>
        <v>#N/A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1" t="s">
        <v>12</v>
      </c>
      <c r="B668" s="11" t="s">
        <v>13</v>
      </c>
      <c r="C668" s="9" t="s">
        <v>546</v>
      </c>
      <c r="D668" s="9" t="s">
        <v>16</v>
      </c>
      <c r="E668" s="10" t="s">
        <v>14</v>
      </c>
      <c r="F668" s="6">
        <v>0.0</v>
      </c>
      <c r="G668" s="7">
        <v>0.0</v>
      </c>
      <c r="H668" s="12">
        <v>0.0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1" t="s">
        <v>12</v>
      </c>
      <c r="B669" s="11" t="s">
        <v>13</v>
      </c>
      <c r="C669" s="9" t="s">
        <v>547</v>
      </c>
      <c r="D669" s="9" t="s">
        <v>48</v>
      </c>
      <c r="E669" s="10" t="s">
        <v>14</v>
      </c>
      <c r="F669" s="6">
        <v>0.0</v>
      </c>
      <c r="G669" s="7">
        <v>6703469.0</v>
      </c>
      <c r="H669" s="12" t="str">
        <f t="array" ref="H669">XLOOKUP(C:C,Sheet3!A:A,Sheet3!B:B)</f>
        <v>#N/A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1" t="s">
        <v>12</v>
      </c>
      <c r="B670" s="11" t="s">
        <v>8</v>
      </c>
      <c r="C670" s="9" t="s">
        <v>547</v>
      </c>
      <c r="D670" s="9" t="s">
        <v>48</v>
      </c>
      <c r="E670" s="9" t="s">
        <v>17</v>
      </c>
      <c r="F670" s="6">
        <v>2000000.0</v>
      </c>
      <c r="G670" s="7">
        <v>0.0</v>
      </c>
      <c r="H670" s="12" t="str">
        <f t="array" ref="H670">XLOOKUP(C:C,Sheet3!A:A,Sheet3!B:B)</f>
        <v>#N/A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1" t="s">
        <v>12</v>
      </c>
      <c r="B671" s="11" t="s">
        <v>13</v>
      </c>
      <c r="C671" s="9" t="s">
        <v>548</v>
      </c>
      <c r="D671" s="9" t="s">
        <v>16</v>
      </c>
      <c r="E671" s="10" t="s">
        <v>14</v>
      </c>
      <c r="F671" s="6">
        <v>0.0</v>
      </c>
      <c r="G671" s="7">
        <v>2417.0</v>
      </c>
      <c r="H671" s="12" t="str">
        <f t="array" ref="H671">XLOOKUP(C:C,Sheet3!A:A,Sheet3!B:B)</f>
        <v>#N/A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1" t="s">
        <v>12</v>
      </c>
      <c r="B672" s="11" t="s">
        <v>8</v>
      </c>
      <c r="C672" s="9" t="s">
        <v>549</v>
      </c>
      <c r="D672" s="9" t="s">
        <v>48</v>
      </c>
      <c r="E672" s="9" t="s">
        <v>11</v>
      </c>
      <c r="F672" s="6">
        <v>1068000.0</v>
      </c>
      <c r="G672" s="7">
        <v>696886.0</v>
      </c>
      <c r="H672" s="12" t="str">
        <f t="array" ref="H672">XLOOKUP(C:C,Sheet3!A:A,Sheet3!B:B)</f>
        <v>#N/A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1" t="s">
        <v>12</v>
      </c>
      <c r="B673" s="11" t="s">
        <v>13</v>
      </c>
      <c r="C673" s="9" t="s">
        <v>550</v>
      </c>
      <c r="D673" s="9" t="s">
        <v>16</v>
      </c>
      <c r="E673" s="9" t="s">
        <v>49</v>
      </c>
      <c r="F673" s="6">
        <v>200000.0</v>
      </c>
      <c r="G673" s="7">
        <v>0.0</v>
      </c>
      <c r="H673" s="12" t="str">
        <f t="array" ref="H673">XLOOKUP(C:C,Sheet3!A:A,Sheet3!B:B)</f>
        <v>#N/A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1" t="s">
        <v>12</v>
      </c>
      <c r="B674" s="11" t="s">
        <v>13</v>
      </c>
      <c r="C674" s="9" t="s">
        <v>551</v>
      </c>
      <c r="D674" s="9" t="s">
        <v>16</v>
      </c>
      <c r="E674" s="10" t="s">
        <v>14</v>
      </c>
      <c r="F674" s="6">
        <v>0.0</v>
      </c>
      <c r="G674" s="7">
        <v>0.0</v>
      </c>
      <c r="H674" s="12">
        <v>0.0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1" t="s">
        <v>12</v>
      </c>
      <c r="B675" s="11" t="s">
        <v>13</v>
      </c>
      <c r="C675" s="9" t="s">
        <v>552</v>
      </c>
      <c r="D675" s="9" t="s">
        <v>16</v>
      </c>
      <c r="E675" s="10" t="s">
        <v>14</v>
      </c>
      <c r="F675" s="6">
        <v>0.0</v>
      </c>
      <c r="G675" s="7">
        <v>0.0</v>
      </c>
      <c r="H675" s="12">
        <v>0.0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1" t="s">
        <v>12</v>
      </c>
      <c r="B676" s="11" t="s">
        <v>13</v>
      </c>
      <c r="C676" s="9" t="s">
        <v>553</v>
      </c>
      <c r="D676" s="9" t="s">
        <v>16</v>
      </c>
      <c r="E676" s="10" t="s">
        <v>14</v>
      </c>
      <c r="F676" s="6">
        <v>0.0</v>
      </c>
      <c r="G676" s="7">
        <v>0.0</v>
      </c>
      <c r="H676" s="12">
        <v>0.0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1" t="s">
        <v>7</v>
      </c>
      <c r="B677" s="11" t="s">
        <v>13</v>
      </c>
      <c r="C677" s="9" t="s">
        <v>554</v>
      </c>
      <c r="D677" s="9" t="s">
        <v>48</v>
      </c>
      <c r="E677" s="9" t="s">
        <v>11</v>
      </c>
      <c r="F677" s="6">
        <v>5000000.0</v>
      </c>
      <c r="G677" s="7">
        <v>0.0</v>
      </c>
      <c r="H677" s="12" t="str">
        <f t="array" ref="H677">XLOOKUP(C:C,Sheet3!A:A,Sheet3!B:B)</f>
        <v>#N/A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1" t="s">
        <v>12</v>
      </c>
      <c r="B678" s="11" t="s">
        <v>13</v>
      </c>
      <c r="C678" s="9" t="s">
        <v>554</v>
      </c>
      <c r="D678" s="9" t="s">
        <v>48</v>
      </c>
      <c r="E678" s="9" t="s">
        <v>11</v>
      </c>
      <c r="F678" s="6">
        <v>1.2554E7</v>
      </c>
      <c r="G678" s="7">
        <v>0.0</v>
      </c>
      <c r="H678" s="12" t="str">
        <f t="array" ref="H678">XLOOKUP(C:C,Sheet3!A:A,Sheet3!B:B)</f>
        <v>#N/A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1" t="s">
        <v>12</v>
      </c>
      <c r="B679" s="11" t="s">
        <v>13</v>
      </c>
      <c r="C679" s="9" t="s">
        <v>555</v>
      </c>
      <c r="D679" s="9" t="s">
        <v>48</v>
      </c>
      <c r="E679" s="10" t="s">
        <v>14</v>
      </c>
      <c r="F679" s="6">
        <v>0.0</v>
      </c>
      <c r="G679" s="7">
        <v>1797534.0</v>
      </c>
      <c r="H679" s="12" t="str">
        <f t="array" ref="H679">XLOOKUP(C:C,Sheet3!A:A,Sheet3!B:B)</f>
        <v>#N/A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1" t="s">
        <v>12</v>
      </c>
      <c r="B680" s="11" t="s">
        <v>13</v>
      </c>
      <c r="C680" s="9" t="s">
        <v>556</v>
      </c>
      <c r="D680" s="9" t="s">
        <v>16</v>
      </c>
      <c r="E680" s="9" t="s">
        <v>74</v>
      </c>
      <c r="F680" s="6">
        <v>500000.0</v>
      </c>
      <c r="G680" s="7">
        <v>-54428.0</v>
      </c>
      <c r="H680" s="12" t="str">
        <f t="array" ref="H680">XLOOKUP(C:C,Sheet3!A:A,Sheet3!B:B)</f>
        <v>#N/A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1" t="s">
        <v>12</v>
      </c>
      <c r="B681" s="11" t="s">
        <v>8</v>
      </c>
      <c r="C681" s="9" t="s">
        <v>557</v>
      </c>
      <c r="D681" s="9" t="s">
        <v>16</v>
      </c>
      <c r="E681" s="10" t="s">
        <v>14</v>
      </c>
      <c r="F681" s="6">
        <v>0.0</v>
      </c>
      <c r="G681" s="7">
        <v>0.0</v>
      </c>
      <c r="H681" s="12">
        <v>0.0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1" t="s">
        <v>12</v>
      </c>
      <c r="B682" s="11" t="s">
        <v>13</v>
      </c>
      <c r="C682" s="9" t="s">
        <v>558</v>
      </c>
      <c r="D682" s="9" t="s">
        <v>16</v>
      </c>
      <c r="E682" s="9" t="s">
        <v>11</v>
      </c>
      <c r="F682" s="6">
        <v>333000.0</v>
      </c>
      <c r="G682" s="7">
        <v>0.0</v>
      </c>
      <c r="H682" s="12" t="str">
        <f t="array" ref="H682">XLOOKUP(C:C,Sheet3!A:A,Sheet3!B:B)</f>
        <v>#N/A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1" t="s">
        <v>12</v>
      </c>
      <c r="B683" s="11" t="s">
        <v>8</v>
      </c>
      <c r="C683" s="9" t="s">
        <v>559</v>
      </c>
      <c r="D683" s="9" t="s">
        <v>16</v>
      </c>
      <c r="E683" s="10" t="s">
        <v>14</v>
      </c>
      <c r="F683" s="6">
        <v>0.0</v>
      </c>
      <c r="G683" s="7">
        <v>0.0</v>
      </c>
      <c r="H683" s="12" t="str">
        <f t="array" ref="H683">XLOOKUP(C:C,Sheet3!A:A,Sheet3!B:B)</f>
        <v>#N/A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1" t="s">
        <v>12</v>
      </c>
      <c r="B684" s="11" t="s">
        <v>13</v>
      </c>
      <c r="C684" s="9" t="s">
        <v>560</v>
      </c>
      <c r="D684" s="9" t="s">
        <v>16</v>
      </c>
      <c r="E684" s="10" t="s">
        <v>14</v>
      </c>
      <c r="F684" s="6">
        <v>0.0</v>
      </c>
      <c r="G684" s="7">
        <v>0.0</v>
      </c>
      <c r="H684" s="12">
        <v>0.0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1" t="s">
        <v>12</v>
      </c>
      <c r="B685" s="11" t="s">
        <v>13</v>
      </c>
      <c r="C685" s="9" t="s">
        <v>561</v>
      </c>
      <c r="D685" s="9" t="s">
        <v>16</v>
      </c>
      <c r="E685" s="10" t="s">
        <v>14</v>
      </c>
      <c r="F685" s="6">
        <v>0.0</v>
      </c>
      <c r="G685" s="7">
        <v>0.0</v>
      </c>
      <c r="H685" s="12">
        <v>0.0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1" t="s">
        <v>12</v>
      </c>
      <c r="B686" s="11" t="s">
        <v>13</v>
      </c>
      <c r="C686" s="9" t="s">
        <v>562</v>
      </c>
      <c r="D686" s="9" t="s">
        <v>16</v>
      </c>
      <c r="E686" s="10" t="s">
        <v>14</v>
      </c>
      <c r="F686" s="6">
        <v>100000.0</v>
      </c>
      <c r="G686" s="7">
        <v>0.0</v>
      </c>
      <c r="H686" s="12" t="str">
        <f t="array" ref="H686">XLOOKUP(C:C,Sheet3!A:A,Sheet3!B:B)</f>
        <v>#N/A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1" t="s">
        <v>12</v>
      </c>
      <c r="B687" s="11" t="s">
        <v>8</v>
      </c>
      <c r="C687" s="9" t="s">
        <v>562</v>
      </c>
      <c r="D687" s="9" t="s">
        <v>16</v>
      </c>
      <c r="E687" s="9" t="s">
        <v>11</v>
      </c>
      <c r="F687" s="6">
        <v>25000.0</v>
      </c>
      <c r="G687" s="7">
        <v>0.0</v>
      </c>
      <c r="H687" s="12" t="str">
        <f t="array" ref="H687">XLOOKUP(C:C,Sheet3!A:A,Sheet3!B:B)</f>
        <v>#N/A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1" t="s">
        <v>12</v>
      </c>
      <c r="B688" s="11" t="s">
        <v>13</v>
      </c>
      <c r="C688" s="9" t="s">
        <v>563</v>
      </c>
      <c r="D688" s="9" t="s">
        <v>10</v>
      </c>
      <c r="E688" s="10" t="s">
        <v>14</v>
      </c>
      <c r="F688" s="6">
        <v>0.0</v>
      </c>
      <c r="G688" s="7">
        <v>0.0</v>
      </c>
      <c r="H688" s="12">
        <v>0.0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1" t="s">
        <v>7</v>
      </c>
      <c r="B689" s="11" t="s">
        <v>8</v>
      </c>
      <c r="C689" s="9" t="s">
        <v>564</v>
      </c>
      <c r="D689" s="9" t="s">
        <v>48</v>
      </c>
      <c r="E689" s="9" t="s">
        <v>49</v>
      </c>
      <c r="F689" s="6">
        <v>100000.0</v>
      </c>
      <c r="G689" s="7">
        <v>0.0</v>
      </c>
      <c r="H689" s="12" t="str">
        <f t="array" ref="H689">XLOOKUP(C:C,Sheet3!A:A,Sheet3!B:B)</f>
        <v>#N/A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1" t="s">
        <v>12</v>
      </c>
      <c r="B690" s="11" t="s">
        <v>8</v>
      </c>
      <c r="C690" s="9" t="s">
        <v>564</v>
      </c>
      <c r="D690" s="9" t="s">
        <v>48</v>
      </c>
      <c r="E690" s="9" t="s">
        <v>49</v>
      </c>
      <c r="F690" s="6">
        <v>675707.0</v>
      </c>
      <c r="G690" s="7">
        <v>14750.0</v>
      </c>
      <c r="H690" s="12" t="str">
        <f t="array" ref="H690">XLOOKUP(C:C,Sheet3!A:A,Sheet3!B:B)</f>
        <v>#N/A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1" t="s">
        <v>12</v>
      </c>
      <c r="B691" s="11" t="s">
        <v>13</v>
      </c>
      <c r="C691" s="9" t="s">
        <v>565</v>
      </c>
      <c r="D691" s="9" t="s">
        <v>16</v>
      </c>
      <c r="E691" s="9" t="s">
        <v>49</v>
      </c>
      <c r="F691" s="6">
        <v>1066000.0</v>
      </c>
      <c r="G691" s="7">
        <v>0.0</v>
      </c>
      <c r="H691" s="12">
        <v>0.0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1" t="s">
        <v>7</v>
      </c>
      <c r="B692" s="11" t="s">
        <v>13</v>
      </c>
      <c r="C692" s="9" t="s">
        <v>566</v>
      </c>
      <c r="D692" s="9" t="s">
        <v>32</v>
      </c>
      <c r="E692" s="9" t="s">
        <v>104</v>
      </c>
      <c r="F692" s="6">
        <v>3500000.0</v>
      </c>
      <c r="G692" s="7">
        <v>0.0</v>
      </c>
      <c r="H692" s="12" t="str">
        <f t="array" ref="H692">XLOOKUP(C:C,Sheet3!A:A,Sheet3!B:B)</f>
        <v>#N/A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1" t="s">
        <v>12</v>
      </c>
      <c r="B693" s="11" t="s">
        <v>13</v>
      </c>
      <c r="C693" s="9" t="s">
        <v>566</v>
      </c>
      <c r="D693" s="9" t="s">
        <v>32</v>
      </c>
      <c r="E693" s="9" t="s">
        <v>84</v>
      </c>
      <c r="F693" s="6">
        <v>3500000.0</v>
      </c>
      <c r="G693" s="7">
        <v>665920.0</v>
      </c>
      <c r="H693" s="12" t="str">
        <f t="array" ref="H693">XLOOKUP(C:C,Sheet3!A:A,Sheet3!B:B)</f>
        <v>#N/A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1" t="s">
        <v>12</v>
      </c>
      <c r="B694" s="11" t="s">
        <v>13</v>
      </c>
      <c r="C694" s="9" t="s">
        <v>567</v>
      </c>
      <c r="D694" s="9" t="s">
        <v>16</v>
      </c>
      <c r="E694" s="10" t="s">
        <v>14</v>
      </c>
      <c r="F694" s="6">
        <v>0.0</v>
      </c>
      <c r="G694" s="7">
        <v>0.0</v>
      </c>
      <c r="H694" s="12">
        <v>0.0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1" t="s">
        <v>12</v>
      </c>
      <c r="B695" s="11" t="s">
        <v>13</v>
      </c>
      <c r="C695" s="9" t="s">
        <v>568</v>
      </c>
      <c r="D695" s="9" t="s">
        <v>48</v>
      </c>
      <c r="E695" s="10" t="s">
        <v>14</v>
      </c>
      <c r="F695" s="6">
        <v>3066000.0</v>
      </c>
      <c r="G695" s="7">
        <v>2.2992617E7</v>
      </c>
      <c r="H695" s="12" t="str">
        <f t="array" ref="H695">XLOOKUP(C:C,Sheet3!A:A,Sheet3!B:B)</f>
        <v>#N/A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1" t="s">
        <v>12</v>
      </c>
      <c r="B696" s="11" t="s">
        <v>13</v>
      </c>
      <c r="C696" s="9" t="s">
        <v>569</v>
      </c>
      <c r="D696" s="9" t="s">
        <v>48</v>
      </c>
      <c r="E696" s="10" t="s">
        <v>14</v>
      </c>
      <c r="F696" s="6">
        <v>0.0</v>
      </c>
      <c r="G696" s="7">
        <v>-3475500.0</v>
      </c>
      <c r="H696" s="12" t="str">
        <f t="array" ref="H696">XLOOKUP(C:C,Sheet3!A:A,Sheet3!B:B)</f>
        <v>#N/A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1" t="s">
        <v>12</v>
      </c>
      <c r="B697" s="11" t="s">
        <v>8</v>
      </c>
      <c r="C697" s="9" t="s">
        <v>570</v>
      </c>
      <c r="D697" s="9" t="s">
        <v>48</v>
      </c>
      <c r="E697" s="10" t="s">
        <v>14</v>
      </c>
      <c r="F697" s="6">
        <v>0.0</v>
      </c>
      <c r="G697" s="7">
        <v>0.0</v>
      </c>
      <c r="H697" s="12" t="str">
        <f t="array" ref="H697">XLOOKUP(C:C,Sheet3!A:A,Sheet3!B:B)</f>
        <v>#N/A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1" t="s">
        <v>12</v>
      </c>
      <c r="B698" s="11" t="s">
        <v>13</v>
      </c>
      <c r="C698" s="9" t="s">
        <v>571</v>
      </c>
      <c r="D698" s="9" t="s">
        <v>16</v>
      </c>
      <c r="E698" s="10" t="s">
        <v>14</v>
      </c>
      <c r="F698" s="6">
        <v>69000.0</v>
      </c>
      <c r="G698" s="7">
        <v>0.0</v>
      </c>
      <c r="H698" s="12">
        <v>0.0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1" t="s">
        <v>12</v>
      </c>
      <c r="B699" s="11" t="s">
        <v>8</v>
      </c>
      <c r="C699" s="9" t="s">
        <v>571</v>
      </c>
      <c r="D699" s="9" t="s">
        <v>16</v>
      </c>
      <c r="E699" s="9" t="s">
        <v>11</v>
      </c>
      <c r="F699" s="6">
        <v>1.0</v>
      </c>
      <c r="G699" s="7">
        <v>0.0</v>
      </c>
      <c r="H699" s="12">
        <v>0.0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1" t="s">
        <v>12</v>
      </c>
      <c r="B700" s="11" t="s">
        <v>13</v>
      </c>
      <c r="C700" s="9" t="s">
        <v>572</v>
      </c>
      <c r="D700" s="9" t="s">
        <v>16</v>
      </c>
      <c r="E700" s="10" t="s">
        <v>14</v>
      </c>
      <c r="F700" s="6">
        <v>0.0</v>
      </c>
      <c r="G700" s="7">
        <v>0.0</v>
      </c>
      <c r="H700" s="12">
        <v>0.0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1" t="s">
        <v>12</v>
      </c>
      <c r="B701" s="11" t="s">
        <v>13</v>
      </c>
      <c r="C701" s="9" t="s">
        <v>573</v>
      </c>
      <c r="D701" s="9" t="s">
        <v>16</v>
      </c>
      <c r="E701" s="10" t="s">
        <v>14</v>
      </c>
      <c r="F701" s="6">
        <v>0.0</v>
      </c>
      <c r="G701" s="7">
        <v>0.0</v>
      </c>
      <c r="H701" s="12">
        <v>0.0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1" t="s">
        <v>12</v>
      </c>
      <c r="B702" s="11" t="s">
        <v>8</v>
      </c>
      <c r="C702" s="9" t="s">
        <v>574</v>
      </c>
      <c r="D702" s="9" t="s">
        <v>48</v>
      </c>
      <c r="E702" s="10" t="s">
        <v>14</v>
      </c>
      <c r="F702" s="6">
        <v>910570.0</v>
      </c>
      <c r="G702" s="7">
        <v>207385.0</v>
      </c>
      <c r="H702" s="12" t="str">
        <f t="array" ref="H702">XLOOKUP(C:C,Sheet3!A:A,Sheet3!B:B)</f>
        <v>#N/A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1" t="s">
        <v>12</v>
      </c>
      <c r="B703" s="11" t="s">
        <v>13</v>
      </c>
      <c r="C703" s="9" t="s">
        <v>574</v>
      </c>
      <c r="D703" s="9" t="s">
        <v>48</v>
      </c>
      <c r="E703" s="10" t="s">
        <v>14</v>
      </c>
      <c r="F703" s="6">
        <v>911000.0</v>
      </c>
      <c r="G703" s="7">
        <v>0.0</v>
      </c>
      <c r="H703" s="12" t="str">
        <f t="array" ref="H703">XLOOKUP(C:C,Sheet3!A:A,Sheet3!B:B)</f>
        <v>#N/A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1" t="s">
        <v>12</v>
      </c>
      <c r="B704" s="11" t="s">
        <v>13</v>
      </c>
      <c r="C704" s="9" t="s">
        <v>575</v>
      </c>
      <c r="D704" s="9" t="s">
        <v>16</v>
      </c>
      <c r="E704" s="10" t="s">
        <v>14</v>
      </c>
      <c r="F704" s="6">
        <v>0.0</v>
      </c>
      <c r="G704" s="7">
        <v>0.0</v>
      </c>
      <c r="H704" s="12">
        <v>0.0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1" t="s">
        <v>7</v>
      </c>
      <c r="B705" s="11" t="s">
        <v>13</v>
      </c>
      <c r="C705" s="9" t="s">
        <v>576</v>
      </c>
      <c r="D705" s="9" t="s">
        <v>16</v>
      </c>
      <c r="E705" s="10" t="s">
        <v>14</v>
      </c>
      <c r="F705" s="6">
        <v>0.0</v>
      </c>
      <c r="G705" s="7">
        <v>0.0</v>
      </c>
      <c r="H705" s="12">
        <v>0.0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1" t="s">
        <v>12</v>
      </c>
      <c r="B706" s="11" t="s">
        <v>13</v>
      </c>
      <c r="C706" s="9" t="s">
        <v>576</v>
      </c>
      <c r="D706" s="9" t="s">
        <v>16</v>
      </c>
      <c r="E706" s="10" t="s">
        <v>14</v>
      </c>
      <c r="F706" s="6">
        <v>0.0</v>
      </c>
      <c r="G706" s="7">
        <v>0.0</v>
      </c>
      <c r="H706" s="12">
        <v>0.0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1" t="s">
        <v>12</v>
      </c>
      <c r="B707" s="11" t="s">
        <v>13</v>
      </c>
      <c r="C707" s="9" t="s">
        <v>577</v>
      </c>
      <c r="D707" s="9" t="s">
        <v>37</v>
      </c>
      <c r="E707" s="10" t="s">
        <v>14</v>
      </c>
      <c r="F707" s="6">
        <v>0.0</v>
      </c>
      <c r="G707" s="7">
        <v>2.4484386E7</v>
      </c>
      <c r="H707" s="12" t="str">
        <f t="array" ref="H707">XLOOKUP(C:C,Sheet3!A:A,Sheet3!B:B)</f>
        <v>#N/A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1" t="s">
        <v>7</v>
      </c>
      <c r="B708" s="11" t="s">
        <v>13</v>
      </c>
      <c r="C708" s="9" t="s">
        <v>578</v>
      </c>
      <c r="D708" s="9" t="s">
        <v>83</v>
      </c>
      <c r="E708" s="9" t="s">
        <v>23</v>
      </c>
      <c r="F708" s="6">
        <v>1850000.0</v>
      </c>
      <c r="G708" s="7">
        <v>0.0</v>
      </c>
      <c r="H708" s="12" t="str">
        <f t="array" ref="H708">XLOOKUP(C:C,Sheet3!A:A,Sheet3!B:B)</f>
        <v>#N/A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1" t="s">
        <v>12</v>
      </c>
      <c r="B709" s="11" t="s">
        <v>13</v>
      </c>
      <c r="C709" s="9" t="s">
        <v>578</v>
      </c>
      <c r="D709" s="9" t="s">
        <v>83</v>
      </c>
      <c r="E709" s="9" t="s">
        <v>17</v>
      </c>
      <c r="F709" s="6">
        <v>1800000.0</v>
      </c>
      <c r="G709" s="7">
        <v>1301665.0</v>
      </c>
      <c r="H709" s="12" t="str">
        <f t="array" ref="H709">XLOOKUP(C:C,Sheet3!A:A,Sheet3!B:B)</f>
        <v>#N/A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1" t="s">
        <v>7</v>
      </c>
      <c r="B710" s="11" t="s">
        <v>13</v>
      </c>
      <c r="C710" s="9" t="s">
        <v>579</v>
      </c>
      <c r="D710" s="9" t="s">
        <v>37</v>
      </c>
      <c r="E710" s="9" t="s">
        <v>96</v>
      </c>
      <c r="F710" s="6">
        <v>0.0</v>
      </c>
      <c r="G710" s="7">
        <v>0.0</v>
      </c>
      <c r="H710" s="12" t="str">
        <f t="array" ref="H710">XLOOKUP(C:C,Sheet3!A:A,Sheet3!B:B)</f>
        <v>#N/A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1" t="s">
        <v>12</v>
      </c>
      <c r="B711" s="11" t="s">
        <v>13</v>
      </c>
      <c r="C711" s="9" t="s">
        <v>579</v>
      </c>
      <c r="D711" s="9" t="s">
        <v>37</v>
      </c>
      <c r="E711" s="9" t="s">
        <v>96</v>
      </c>
      <c r="F711" s="6">
        <v>1000000.0</v>
      </c>
      <c r="G711" s="7">
        <v>0.0</v>
      </c>
      <c r="H711" s="12" t="str">
        <f t="array" ref="H711">XLOOKUP(C:C,Sheet3!A:A,Sheet3!B:B)</f>
        <v>#N/A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1" t="s">
        <v>12</v>
      </c>
      <c r="B712" s="11" t="s">
        <v>13</v>
      </c>
      <c r="C712" s="9" t="s">
        <v>580</v>
      </c>
      <c r="D712" s="9" t="s">
        <v>37</v>
      </c>
      <c r="E712" s="10" t="s">
        <v>14</v>
      </c>
      <c r="F712" s="6">
        <v>0.0</v>
      </c>
      <c r="G712" s="7">
        <v>0.0</v>
      </c>
      <c r="H712" s="12" t="str">
        <f t="array" ref="H712">XLOOKUP(C:C,Sheet3!A:A,Sheet3!B:B)</f>
        <v>#N/A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1" t="s">
        <v>12</v>
      </c>
      <c r="B713" s="11" t="s">
        <v>13</v>
      </c>
      <c r="C713" s="9" t="s">
        <v>581</v>
      </c>
      <c r="D713" s="9" t="s">
        <v>16</v>
      </c>
      <c r="E713" s="10" t="s">
        <v>14</v>
      </c>
      <c r="F713" s="6">
        <v>297000.0</v>
      </c>
      <c r="G713" s="7">
        <v>0.0</v>
      </c>
      <c r="H713" s="12">
        <v>0.0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1" t="s">
        <v>7</v>
      </c>
      <c r="B714" s="11" t="s">
        <v>13</v>
      </c>
      <c r="C714" s="9" t="s">
        <v>582</v>
      </c>
      <c r="D714" s="9" t="s">
        <v>16</v>
      </c>
      <c r="E714" s="10" t="s">
        <v>14</v>
      </c>
      <c r="F714" s="6">
        <v>0.0</v>
      </c>
      <c r="G714" s="7">
        <v>0.0</v>
      </c>
      <c r="H714" s="12">
        <v>0.0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1" t="s">
        <v>12</v>
      </c>
      <c r="B715" s="11" t="s">
        <v>13</v>
      </c>
      <c r="C715" s="9" t="s">
        <v>582</v>
      </c>
      <c r="D715" s="9" t="s">
        <v>16</v>
      </c>
      <c r="E715" s="10" t="s">
        <v>14</v>
      </c>
      <c r="F715" s="6">
        <v>52000.0</v>
      </c>
      <c r="G715" s="7">
        <v>0.0</v>
      </c>
      <c r="H715" s="12">
        <v>0.0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1" t="s">
        <v>12</v>
      </c>
      <c r="B716" s="11" t="s">
        <v>13</v>
      </c>
      <c r="C716" s="9" t="s">
        <v>583</v>
      </c>
      <c r="D716" s="9" t="s">
        <v>32</v>
      </c>
      <c r="E716" s="10" t="s">
        <v>14</v>
      </c>
      <c r="F716" s="6">
        <v>0.0</v>
      </c>
      <c r="G716" s="7">
        <v>1.79183955E7</v>
      </c>
      <c r="H716" s="12" t="str">
        <f t="array" ref="H716">XLOOKUP(C:C,Sheet3!A:A,Sheet3!B:B)</f>
        <v>#N/A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1" t="s">
        <v>12</v>
      </c>
      <c r="B717" s="11" t="s">
        <v>13</v>
      </c>
      <c r="C717" s="9" t="s">
        <v>584</v>
      </c>
      <c r="D717" s="9" t="s">
        <v>16</v>
      </c>
      <c r="E717" s="10" t="s">
        <v>14</v>
      </c>
      <c r="F717" s="6">
        <v>0.0</v>
      </c>
      <c r="G717" s="7">
        <v>0.0</v>
      </c>
      <c r="H717" s="12">
        <v>0.0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1" t="s">
        <v>12</v>
      </c>
      <c r="B718" s="11" t="s">
        <v>8</v>
      </c>
      <c r="C718" s="9" t="s">
        <v>585</v>
      </c>
      <c r="D718" s="9" t="s">
        <v>10</v>
      </c>
      <c r="E718" s="10" t="s">
        <v>14</v>
      </c>
      <c r="F718" s="6">
        <v>251931.0</v>
      </c>
      <c r="G718" s="7">
        <v>57525.0</v>
      </c>
      <c r="H718" s="12" t="str">
        <f t="array" ref="H718">XLOOKUP(C:C,Sheet3!A:A,Sheet3!B:B)</f>
        <v>#N/A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1" t="s">
        <v>12</v>
      </c>
      <c r="B719" s="11" t="s">
        <v>13</v>
      </c>
      <c r="C719" s="9" t="s">
        <v>585</v>
      </c>
      <c r="D719" s="9" t="s">
        <v>10</v>
      </c>
      <c r="E719" s="9" t="s">
        <v>49</v>
      </c>
      <c r="F719" s="6">
        <v>500000.0</v>
      </c>
      <c r="G719" s="7">
        <v>0.0</v>
      </c>
      <c r="H719" s="12" t="str">
        <f t="array" ref="H719">XLOOKUP(C:C,Sheet3!A:A,Sheet3!B:B)</f>
        <v>#N/A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1" t="s">
        <v>12</v>
      </c>
      <c r="B720" s="11" t="s">
        <v>13</v>
      </c>
      <c r="C720" s="9" t="s">
        <v>586</v>
      </c>
      <c r="D720" s="9" t="s">
        <v>16</v>
      </c>
      <c r="E720" s="10" t="s">
        <v>14</v>
      </c>
      <c r="F720" s="6">
        <v>0.0</v>
      </c>
      <c r="G720" s="7">
        <v>434000.0</v>
      </c>
      <c r="H720" s="12" t="str">
        <f t="array" ref="H720">XLOOKUP(C:C,Sheet3!A:A,Sheet3!B:B)</f>
        <v>#N/A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1" t="s">
        <v>12</v>
      </c>
      <c r="B721" s="11" t="s">
        <v>13</v>
      </c>
      <c r="C721" s="9" t="s">
        <v>587</v>
      </c>
      <c r="D721" s="9" t="s">
        <v>16</v>
      </c>
      <c r="E721" s="9" t="s">
        <v>49</v>
      </c>
      <c r="F721" s="6">
        <v>3400000.0</v>
      </c>
      <c r="G721" s="7">
        <v>7153250.0</v>
      </c>
      <c r="H721" s="12" t="str">
        <f t="array" ref="H721">XLOOKUP(C:C,Sheet3!A:A,Sheet3!B:B)</f>
        <v>#N/A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1" t="s">
        <v>7</v>
      </c>
      <c r="B722" s="11" t="s">
        <v>13</v>
      </c>
      <c r="C722" s="9" t="s">
        <v>588</v>
      </c>
      <c r="D722" s="9" t="s">
        <v>32</v>
      </c>
      <c r="E722" s="9" t="s">
        <v>173</v>
      </c>
      <c r="F722" s="6">
        <v>2100000.0</v>
      </c>
      <c r="G722" s="7">
        <v>0.0</v>
      </c>
      <c r="H722" s="12" t="str">
        <f t="array" ref="H722">XLOOKUP(C:C,Sheet3!A:A,Sheet3!B:B)</f>
        <v>#N/A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1" t="s">
        <v>12</v>
      </c>
      <c r="B723" s="11" t="s">
        <v>13</v>
      </c>
      <c r="C723" s="9" t="s">
        <v>588</v>
      </c>
      <c r="D723" s="9" t="s">
        <v>32</v>
      </c>
      <c r="E723" s="9" t="s">
        <v>11</v>
      </c>
      <c r="F723" s="6">
        <v>2100000.0</v>
      </c>
      <c r="G723" s="7">
        <v>1345650.0</v>
      </c>
      <c r="H723" s="12" t="str">
        <f t="array" ref="H723">XLOOKUP(C:C,Sheet3!A:A,Sheet3!B:B)</f>
        <v>#N/A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1" t="s">
        <v>12</v>
      </c>
      <c r="B724" s="11" t="s">
        <v>13</v>
      </c>
      <c r="C724" s="9" t="s">
        <v>589</v>
      </c>
      <c r="D724" s="9" t="s">
        <v>16</v>
      </c>
      <c r="E724" s="9" t="s">
        <v>11</v>
      </c>
      <c r="F724" s="6">
        <v>0.0</v>
      </c>
      <c r="G724" s="7">
        <v>0.0</v>
      </c>
      <c r="H724" s="12">
        <v>0.0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1" t="s">
        <v>12</v>
      </c>
      <c r="B725" s="11" t="s">
        <v>13</v>
      </c>
      <c r="C725" s="9" t="s">
        <v>590</v>
      </c>
      <c r="D725" s="9" t="s">
        <v>16</v>
      </c>
      <c r="E725" s="10" t="s">
        <v>14</v>
      </c>
      <c r="F725" s="6">
        <v>0.0</v>
      </c>
      <c r="G725" s="7">
        <v>0.0</v>
      </c>
      <c r="H725" s="12">
        <v>0.0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1" t="s">
        <v>12</v>
      </c>
      <c r="B726" s="11" t="s">
        <v>13</v>
      </c>
      <c r="C726" s="9" t="s">
        <v>591</v>
      </c>
      <c r="D726" s="9" t="s">
        <v>16</v>
      </c>
      <c r="E726" s="10" t="s">
        <v>14</v>
      </c>
      <c r="F726" s="6">
        <v>1200000.0</v>
      </c>
      <c r="G726" s="7">
        <v>0.0</v>
      </c>
      <c r="H726" s="12">
        <v>0.0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1" t="s">
        <v>12</v>
      </c>
      <c r="B727" s="11" t="s">
        <v>13</v>
      </c>
      <c r="C727" s="9" t="s">
        <v>592</v>
      </c>
      <c r="D727" s="9" t="s">
        <v>32</v>
      </c>
      <c r="E727" s="9" t="s">
        <v>84</v>
      </c>
      <c r="F727" s="6">
        <v>10000.0</v>
      </c>
      <c r="G727" s="7">
        <v>6691.0</v>
      </c>
      <c r="H727" s="12" t="str">
        <f t="array" ref="H727">XLOOKUP(C:C,Sheet3!A:A,Sheet3!B:B)</f>
        <v>#N/A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1" t="s">
        <v>12</v>
      </c>
      <c r="B728" s="11" t="s">
        <v>13</v>
      </c>
      <c r="C728" s="9" t="s">
        <v>593</v>
      </c>
      <c r="D728" s="9" t="s">
        <v>16</v>
      </c>
      <c r="E728" s="10" t="s">
        <v>14</v>
      </c>
      <c r="F728" s="6">
        <v>0.0</v>
      </c>
      <c r="G728" s="7">
        <v>0.0</v>
      </c>
      <c r="H728" s="12">
        <v>0.0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1" t="s">
        <v>12</v>
      </c>
      <c r="B729" s="11" t="s">
        <v>13</v>
      </c>
      <c r="C729" s="9" t="s">
        <v>594</v>
      </c>
      <c r="D729" s="9" t="s">
        <v>16</v>
      </c>
      <c r="E729" s="10" t="s">
        <v>14</v>
      </c>
      <c r="F729" s="6">
        <v>85000.0</v>
      </c>
      <c r="G729" s="7">
        <v>0.0</v>
      </c>
      <c r="H729" s="12">
        <v>0.0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1" t="s">
        <v>12</v>
      </c>
      <c r="B730" s="11" t="s">
        <v>13</v>
      </c>
      <c r="C730" s="9" t="s">
        <v>595</v>
      </c>
      <c r="D730" s="9" t="s">
        <v>48</v>
      </c>
      <c r="E730" s="10" t="s">
        <v>14</v>
      </c>
      <c r="F730" s="6">
        <v>85000.0</v>
      </c>
      <c r="G730" s="7">
        <v>0.0</v>
      </c>
      <c r="H730" s="12" t="str">
        <f t="array" ref="H730">XLOOKUP(C:C,Sheet3!A:A,Sheet3!B:B)</f>
        <v>#N/A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1" t="s">
        <v>12</v>
      </c>
      <c r="B731" s="11" t="s">
        <v>8</v>
      </c>
      <c r="C731" s="9" t="s">
        <v>595</v>
      </c>
      <c r="D731" s="9" t="s">
        <v>48</v>
      </c>
      <c r="E731" s="9" t="s">
        <v>49</v>
      </c>
      <c r="F731" s="6">
        <v>236300.0</v>
      </c>
      <c r="G731" s="7">
        <v>0.0</v>
      </c>
      <c r="H731" s="12" t="str">
        <f t="array" ref="H731">XLOOKUP(C:C,Sheet3!A:A,Sheet3!B:B)</f>
        <v>#N/A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1" t="s">
        <v>7</v>
      </c>
      <c r="B732" s="11" t="s">
        <v>13</v>
      </c>
      <c r="C732" s="9" t="s">
        <v>596</v>
      </c>
      <c r="D732" s="9" t="s">
        <v>88</v>
      </c>
      <c r="E732" s="9" t="s">
        <v>23</v>
      </c>
      <c r="F732" s="6">
        <v>2500000.0</v>
      </c>
      <c r="G732" s="7">
        <v>0.0</v>
      </c>
      <c r="H732" s="12" t="str">
        <f t="array" ref="H732">XLOOKUP(C:C,Sheet3!A:A,Sheet3!B:B)</f>
        <v>#N/A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1" t="s">
        <v>12</v>
      </c>
      <c r="B733" s="11" t="s">
        <v>13</v>
      </c>
      <c r="C733" s="9" t="s">
        <v>596</v>
      </c>
      <c r="D733" s="9" t="s">
        <v>88</v>
      </c>
      <c r="E733" s="9" t="s">
        <v>17</v>
      </c>
      <c r="F733" s="6">
        <v>2500000.0</v>
      </c>
      <c r="G733" s="7">
        <v>1600184.0</v>
      </c>
      <c r="H733" s="12" t="str">
        <f t="array" ref="H733">XLOOKUP(C:C,Sheet3!A:A,Sheet3!B:B)</f>
        <v>#N/A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1" t="s">
        <v>12</v>
      </c>
      <c r="B734" s="11" t="s">
        <v>13</v>
      </c>
      <c r="C734" s="9" t="s">
        <v>597</v>
      </c>
      <c r="D734" s="9" t="s">
        <v>16</v>
      </c>
      <c r="E734" s="9" t="s">
        <v>49</v>
      </c>
      <c r="F734" s="6">
        <v>0.0</v>
      </c>
      <c r="G734" s="7">
        <v>0.0</v>
      </c>
      <c r="H734" s="12">
        <v>0.0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1" t="s">
        <v>7</v>
      </c>
      <c r="B735" s="11" t="s">
        <v>13</v>
      </c>
      <c r="C735" s="9" t="s">
        <v>598</v>
      </c>
      <c r="D735" s="9" t="s">
        <v>88</v>
      </c>
      <c r="E735" s="9" t="s">
        <v>23</v>
      </c>
      <c r="F735" s="6">
        <v>500000.0</v>
      </c>
      <c r="G735" s="7">
        <v>0.0</v>
      </c>
      <c r="H735" s="12" t="str">
        <f t="array" ref="H735">XLOOKUP(C:C,Sheet3!A:A,Sheet3!B:B)</f>
        <v>#N/A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1" t="s">
        <v>12</v>
      </c>
      <c r="B736" s="11" t="s">
        <v>13</v>
      </c>
      <c r="C736" s="9" t="s">
        <v>598</v>
      </c>
      <c r="D736" s="9" t="s">
        <v>88</v>
      </c>
      <c r="E736" s="9" t="s">
        <v>17</v>
      </c>
      <c r="F736" s="6">
        <v>500000.0</v>
      </c>
      <c r="G736" s="7">
        <v>183195.0</v>
      </c>
      <c r="H736" s="12" t="str">
        <f t="array" ref="H736">XLOOKUP(C:C,Sheet3!A:A,Sheet3!B:B)</f>
        <v>#N/A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1" t="s">
        <v>12</v>
      </c>
      <c r="B737" s="11" t="s">
        <v>13</v>
      </c>
      <c r="C737" s="9" t="s">
        <v>599</v>
      </c>
      <c r="D737" s="9" t="s">
        <v>16</v>
      </c>
      <c r="E737" s="10" t="s">
        <v>14</v>
      </c>
      <c r="F737" s="6">
        <v>0.0</v>
      </c>
      <c r="G737" s="7">
        <v>0.0</v>
      </c>
      <c r="H737" s="12">
        <v>0.0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1" t="s">
        <v>7</v>
      </c>
      <c r="B738" s="11" t="s">
        <v>13</v>
      </c>
      <c r="C738" s="9" t="s">
        <v>600</v>
      </c>
      <c r="D738" s="9" t="s">
        <v>88</v>
      </c>
      <c r="E738" s="9" t="s">
        <v>17</v>
      </c>
      <c r="F738" s="6">
        <v>1150000.0</v>
      </c>
      <c r="G738" s="7">
        <v>0.0</v>
      </c>
      <c r="H738" s="12" t="str">
        <f t="array" ref="H738">XLOOKUP(C:C,Sheet3!A:A,Sheet3!B:B)</f>
        <v>#N/A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1" t="s">
        <v>12</v>
      </c>
      <c r="B739" s="11" t="s">
        <v>13</v>
      </c>
      <c r="C739" s="9" t="s">
        <v>600</v>
      </c>
      <c r="D739" s="9" t="s">
        <v>88</v>
      </c>
      <c r="E739" s="9" t="s">
        <v>17</v>
      </c>
      <c r="F739" s="6">
        <v>2300000.0</v>
      </c>
      <c r="G739" s="7">
        <v>0.0</v>
      </c>
      <c r="H739" s="12" t="str">
        <f t="array" ref="H739">XLOOKUP(C:C,Sheet3!A:A,Sheet3!B:B)</f>
        <v>#N/A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1" t="s">
        <v>12</v>
      </c>
      <c r="B740" s="11" t="s">
        <v>8</v>
      </c>
      <c r="C740" s="9" t="s">
        <v>601</v>
      </c>
      <c r="D740" s="9" t="s">
        <v>16</v>
      </c>
      <c r="E740" s="9" t="s">
        <v>49</v>
      </c>
      <c r="F740" s="6">
        <v>210794.0</v>
      </c>
      <c r="G740" s="7">
        <v>88500.0</v>
      </c>
      <c r="H740" s="12" t="str">
        <f t="array" ref="H740">XLOOKUP(C:C,Sheet3!A:A,Sheet3!B:B)</f>
        <v>#N/A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1" t="s">
        <v>12</v>
      </c>
      <c r="B741" s="11" t="s">
        <v>13</v>
      </c>
      <c r="C741" s="9" t="s">
        <v>601</v>
      </c>
      <c r="D741" s="9" t="s">
        <v>16</v>
      </c>
      <c r="E741" s="10" t="s">
        <v>14</v>
      </c>
      <c r="F741" s="6">
        <v>281000.0</v>
      </c>
      <c r="G741" s="7">
        <v>0.0</v>
      </c>
      <c r="H741" s="12" t="str">
        <f t="array" ref="H741">XLOOKUP(C:C,Sheet3!A:A,Sheet3!B:B)</f>
        <v>#N/A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1" t="s">
        <v>7</v>
      </c>
      <c r="B742" s="11" t="s">
        <v>13</v>
      </c>
      <c r="C742" s="9" t="s">
        <v>602</v>
      </c>
      <c r="D742" s="9" t="s">
        <v>83</v>
      </c>
      <c r="E742" s="9" t="s">
        <v>23</v>
      </c>
      <c r="F742" s="6">
        <v>1200000.0</v>
      </c>
      <c r="G742" s="7">
        <v>0.0</v>
      </c>
      <c r="H742" s="12" t="str">
        <f t="array" ref="H742">XLOOKUP(C:C,Sheet3!A:A,Sheet3!B:B)</f>
        <v>#N/A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1" t="s">
        <v>12</v>
      </c>
      <c r="B743" s="11" t="s">
        <v>13</v>
      </c>
      <c r="C743" s="9" t="s">
        <v>602</v>
      </c>
      <c r="D743" s="9" t="s">
        <v>83</v>
      </c>
      <c r="E743" s="9" t="s">
        <v>17</v>
      </c>
      <c r="F743" s="6">
        <v>1200000.0</v>
      </c>
      <c r="G743" s="7">
        <v>704798.0</v>
      </c>
      <c r="H743" s="12" t="str">
        <f t="array" ref="H743">XLOOKUP(C:C,Sheet3!A:A,Sheet3!B:B)</f>
        <v>#N/A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1" t="s">
        <v>12</v>
      </c>
      <c r="B744" s="11" t="s">
        <v>13</v>
      </c>
      <c r="C744" s="9" t="s">
        <v>603</v>
      </c>
      <c r="D744" s="9" t="s">
        <v>16</v>
      </c>
      <c r="E744" s="10" t="s">
        <v>14</v>
      </c>
      <c r="F744" s="6">
        <v>0.0</v>
      </c>
      <c r="G744" s="7">
        <v>0.0</v>
      </c>
      <c r="H744" s="12">
        <v>0.0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1" t="s">
        <v>7</v>
      </c>
      <c r="B745" s="11" t="s">
        <v>13</v>
      </c>
      <c r="C745" s="9" t="s">
        <v>604</v>
      </c>
      <c r="D745" s="9" t="s">
        <v>16</v>
      </c>
      <c r="E745" s="9" t="s">
        <v>23</v>
      </c>
      <c r="F745" s="6">
        <v>0.0</v>
      </c>
      <c r="G745" s="7">
        <v>0.0</v>
      </c>
      <c r="H745" s="12">
        <v>0.0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1" t="s">
        <v>7</v>
      </c>
      <c r="B746" s="11" t="s">
        <v>13</v>
      </c>
      <c r="C746" s="9" t="s">
        <v>605</v>
      </c>
      <c r="D746" s="9" t="s">
        <v>88</v>
      </c>
      <c r="E746" s="9" t="s">
        <v>17</v>
      </c>
      <c r="F746" s="6">
        <v>200000.0</v>
      </c>
      <c r="G746" s="7">
        <v>0.0</v>
      </c>
      <c r="H746" s="12" t="str">
        <f t="array" ref="H746">XLOOKUP(C:C,Sheet3!A:A,Sheet3!B:B)</f>
        <v>#N/A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1" t="s">
        <v>12</v>
      </c>
      <c r="B747" s="11" t="s">
        <v>13</v>
      </c>
      <c r="C747" s="9" t="s">
        <v>605</v>
      </c>
      <c r="D747" s="9" t="s">
        <v>88</v>
      </c>
      <c r="E747" s="9" t="s">
        <v>17</v>
      </c>
      <c r="F747" s="6">
        <v>200000.0</v>
      </c>
      <c r="G747" s="7">
        <v>104312.0</v>
      </c>
      <c r="H747" s="12" t="str">
        <f t="array" ref="H747">XLOOKUP(C:C,Sheet3!A:A,Sheet3!B:B)</f>
        <v>#N/A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1" t="s">
        <v>7</v>
      </c>
      <c r="B748" s="11" t="s">
        <v>13</v>
      </c>
      <c r="C748" s="9" t="s">
        <v>606</v>
      </c>
      <c r="D748" s="9" t="s">
        <v>419</v>
      </c>
      <c r="E748" s="9" t="s">
        <v>17</v>
      </c>
      <c r="F748" s="6">
        <v>100000.0</v>
      </c>
      <c r="G748" s="7">
        <v>0.0</v>
      </c>
      <c r="H748" s="12" t="str">
        <f t="array" ref="H748">XLOOKUP(C:C,Sheet3!A:A,Sheet3!B:B)</f>
        <v>#N/A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1" t="s">
        <v>12</v>
      </c>
      <c r="B749" s="11" t="s">
        <v>13</v>
      </c>
      <c r="C749" s="9" t="s">
        <v>606</v>
      </c>
      <c r="D749" s="9" t="s">
        <v>419</v>
      </c>
      <c r="E749" s="9" t="s">
        <v>17</v>
      </c>
      <c r="F749" s="6">
        <v>1000000.0</v>
      </c>
      <c r="G749" s="7">
        <v>0.0</v>
      </c>
      <c r="H749" s="12" t="str">
        <f t="array" ref="H749">XLOOKUP(C:C,Sheet3!A:A,Sheet3!B:B)</f>
        <v>#N/A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1" t="s">
        <v>12</v>
      </c>
      <c r="B750" s="11" t="s">
        <v>13</v>
      </c>
      <c r="C750" s="9" t="s">
        <v>607</v>
      </c>
      <c r="D750" s="9" t="s">
        <v>16</v>
      </c>
      <c r="E750" s="10" t="s">
        <v>14</v>
      </c>
      <c r="F750" s="6">
        <v>0.0</v>
      </c>
      <c r="G750" s="7">
        <v>0.0</v>
      </c>
      <c r="H750" s="12">
        <v>0.0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1" t="s">
        <v>12</v>
      </c>
      <c r="B751" s="11" t="s">
        <v>13</v>
      </c>
      <c r="C751" s="9" t="s">
        <v>608</v>
      </c>
      <c r="D751" s="9" t="s">
        <v>26</v>
      </c>
      <c r="E751" s="9" t="s">
        <v>49</v>
      </c>
      <c r="F751" s="6">
        <v>100000.0</v>
      </c>
      <c r="G751" s="7">
        <v>109334.0</v>
      </c>
      <c r="H751" s="12" t="str">
        <f t="array" ref="H751">XLOOKUP(C:C,Sheet3!A:A,Sheet3!B:B)</f>
        <v>#N/A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1" t="s">
        <v>12</v>
      </c>
      <c r="B752" s="11" t="s">
        <v>13</v>
      </c>
      <c r="C752" s="9" t="s">
        <v>609</v>
      </c>
      <c r="D752" s="9" t="s">
        <v>16</v>
      </c>
      <c r="E752" s="10" t="s">
        <v>14</v>
      </c>
      <c r="F752" s="6">
        <v>0.0</v>
      </c>
      <c r="G752" s="7">
        <v>0.0</v>
      </c>
      <c r="H752" s="12">
        <v>0.0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1" t="s">
        <v>12</v>
      </c>
      <c r="B753" s="11" t="s">
        <v>13</v>
      </c>
      <c r="C753" s="9" t="s">
        <v>610</v>
      </c>
      <c r="D753" s="9" t="s">
        <v>16</v>
      </c>
      <c r="E753" s="9" t="s">
        <v>49</v>
      </c>
      <c r="F753" s="6">
        <v>0.0</v>
      </c>
      <c r="G753" s="7">
        <v>0.0</v>
      </c>
      <c r="H753" s="12">
        <v>0.0</v>
      </c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1" t="s">
        <v>12</v>
      </c>
      <c r="B754" s="11" t="s">
        <v>13</v>
      </c>
      <c r="C754" s="9" t="s">
        <v>611</v>
      </c>
      <c r="D754" s="9" t="s">
        <v>16</v>
      </c>
      <c r="E754" s="10" t="s">
        <v>14</v>
      </c>
      <c r="F754" s="6">
        <v>0.0</v>
      </c>
      <c r="G754" s="7">
        <v>0.0</v>
      </c>
      <c r="H754" s="12">
        <v>0.0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1" t="s">
        <v>12</v>
      </c>
      <c r="B755" s="11" t="s">
        <v>13</v>
      </c>
      <c r="C755" s="9" t="s">
        <v>612</v>
      </c>
      <c r="D755" s="9" t="s">
        <v>16</v>
      </c>
      <c r="E755" s="10" t="s">
        <v>14</v>
      </c>
      <c r="F755" s="6">
        <v>0.0</v>
      </c>
      <c r="G755" s="7">
        <v>0.0</v>
      </c>
      <c r="H755" s="12">
        <v>0.0</v>
      </c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1" t="s">
        <v>12</v>
      </c>
      <c r="B756" s="11" t="s">
        <v>13</v>
      </c>
      <c r="C756" s="9" t="s">
        <v>613</v>
      </c>
      <c r="D756" s="9" t="s">
        <v>16</v>
      </c>
      <c r="E756" s="10" t="s">
        <v>14</v>
      </c>
      <c r="F756" s="6">
        <v>0.0</v>
      </c>
      <c r="G756" s="7">
        <v>0.0</v>
      </c>
      <c r="H756" s="12">
        <v>0.0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1" t="s">
        <v>12</v>
      </c>
      <c r="B757" s="11" t="s">
        <v>13</v>
      </c>
      <c r="C757" s="9" t="s">
        <v>614</v>
      </c>
      <c r="D757" s="9" t="s">
        <v>16</v>
      </c>
      <c r="E757" s="10" t="s">
        <v>14</v>
      </c>
      <c r="F757" s="6">
        <v>0.0</v>
      </c>
      <c r="G757" s="7">
        <v>0.0</v>
      </c>
      <c r="H757" s="12">
        <v>0.0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1" t="s">
        <v>12</v>
      </c>
      <c r="B758" s="11" t="s">
        <v>13</v>
      </c>
      <c r="C758" s="9" t="s">
        <v>615</v>
      </c>
      <c r="D758" s="9" t="s">
        <v>16</v>
      </c>
      <c r="E758" s="10" t="s">
        <v>14</v>
      </c>
      <c r="F758" s="6">
        <v>0.0</v>
      </c>
      <c r="G758" s="7">
        <v>0.0</v>
      </c>
      <c r="H758" s="12">
        <v>0.0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1" t="s">
        <v>12</v>
      </c>
      <c r="B759" s="11" t="s">
        <v>13</v>
      </c>
      <c r="C759" s="9" t="s">
        <v>616</v>
      </c>
      <c r="D759" s="9" t="s">
        <v>16</v>
      </c>
      <c r="E759" s="10" t="s">
        <v>14</v>
      </c>
      <c r="F759" s="6">
        <v>355000.0</v>
      </c>
      <c r="G759" s="7">
        <v>0.0</v>
      </c>
      <c r="H759" s="12" t="str">
        <f t="array" ref="H759">XLOOKUP(C:C,Sheet3!A:A,Sheet3!B:B)</f>
        <v>#N/A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1" t="s">
        <v>12</v>
      </c>
      <c r="B760" s="11" t="s">
        <v>13</v>
      </c>
      <c r="C760" s="9" t="s">
        <v>617</v>
      </c>
      <c r="D760" s="9" t="s">
        <v>16</v>
      </c>
      <c r="E760" s="10" t="s">
        <v>14</v>
      </c>
      <c r="F760" s="6">
        <v>20000.0</v>
      </c>
      <c r="G760" s="7">
        <v>0.0</v>
      </c>
      <c r="H760" s="12">
        <v>0.0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1" t="s">
        <v>7</v>
      </c>
      <c r="B761" s="11" t="s">
        <v>13</v>
      </c>
      <c r="C761" s="9" t="s">
        <v>618</v>
      </c>
      <c r="D761" s="9" t="s">
        <v>32</v>
      </c>
      <c r="E761" s="9" t="s">
        <v>17</v>
      </c>
      <c r="F761" s="6">
        <v>50000.0</v>
      </c>
      <c r="G761" s="7">
        <v>0.0</v>
      </c>
      <c r="H761" s="12" t="str">
        <f t="array" ref="H761">XLOOKUP(C:C,Sheet3!A:A,Sheet3!B:B)</f>
        <v>#N/A</v>
      </c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1" t="s">
        <v>12</v>
      </c>
      <c r="B762" s="11" t="s">
        <v>13</v>
      </c>
      <c r="C762" s="9" t="s">
        <v>618</v>
      </c>
      <c r="D762" s="9" t="s">
        <v>32</v>
      </c>
      <c r="E762" s="9" t="s">
        <v>17</v>
      </c>
      <c r="F762" s="6">
        <v>7750000.0</v>
      </c>
      <c r="G762" s="7">
        <v>6199201.0</v>
      </c>
      <c r="H762" s="12" t="str">
        <f t="array" ref="H762">XLOOKUP(C:C,Sheet3!A:A,Sheet3!B:B)</f>
        <v>#N/A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1" t="s">
        <v>12</v>
      </c>
      <c r="B763" s="11" t="s">
        <v>13</v>
      </c>
      <c r="C763" s="9" t="s">
        <v>619</v>
      </c>
      <c r="D763" s="9" t="s">
        <v>16</v>
      </c>
      <c r="E763" s="10" t="s">
        <v>14</v>
      </c>
      <c r="F763" s="6">
        <v>0.0</v>
      </c>
      <c r="G763" s="7">
        <v>0.0</v>
      </c>
      <c r="H763" s="12">
        <v>0.0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1" t="s">
        <v>12</v>
      </c>
      <c r="B764" s="11" t="s">
        <v>13</v>
      </c>
      <c r="C764" s="9" t="s">
        <v>620</v>
      </c>
      <c r="D764" s="9" t="s">
        <v>16</v>
      </c>
      <c r="E764" s="10" t="s">
        <v>14</v>
      </c>
      <c r="F764" s="6">
        <v>0.0</v>
      </c>
      <c r="G764" s="7">
        <v>0.0</v>
      </c>
      <c r="H764" s="12">
        <v>0.0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1" t="s">
        <v>12</v>
      </c>
      <c r="B765" s="11" t="s">
        <v>13</v>
      </c>
      <c r="C765" s="9" t="s">
        <v>621</v>
      </c>
      <c r="D765" s="9" t="s">
        <v>16</v>
      </c>
      <c r="E765" s="10" t="s">
        <v>14</v>
      </c>
      <c r="F765" s="6">
        <v>0.0</v>
      </c>
      <c r="G765" s="7">
        <v>0.0</v>
      </c>
      <c r="H765" s="12">
        <v>0.0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1" t="s">
        <v>12</v>
      </c>
      <c r="B766" s="11" t="s">
        <v>13</v>
      </c>
      <c r="C766" s="9" t="s">
        <v>622</v>
      </c>
      <c r="D766" s="9" t="s">
        <v>16</v>
      </c>
      <c r="E766" s="10" t="s">
        <v>14</v>
      </c>
      <c r="F766" s="6">
        <v>0.0</v>
      </c>
      <c r="G766" s="7">
        <v>0.0</v>
      </c>
      <c r="H766" s="12">
        <v>0.0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1" t="s">
        <v>7</v>
      </c>
      <c r="B767" s="11" t="s">
        <v>13</v>
      </c>
      <c r="C767" s="9" t="s">
        <v>623</v>
      </c>
      <c r="D767" s="9" t="s">
        <v>16</v>
      </c>
      <c r="E767" s="9" t="s">
        <v>55</v>
      </c>
      <c r="F767" s="6">
        <v>100000.0</v>
      </c>
      <c r="G767" s="7">
        <v>0.0</v>
      </c>
      <c r="H767" s="12" t="str">
        <f t="array" ref="H767">XLOOKUP(C:C,Sheet3!A:A,Sheet3!B:B)</f>
        <v>#N/A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1" t="s">
        <v>12</v>
      </c>
      <c r="B768" s="11" t="s">
        <v>13</v>
      </c>
      <c r="C768" s="9" t="s">
        <v>623</v>
      </c>
      <c r="D768" s="9" t="s">
        <v>16</v>
      </c>
      <c r="E768" s="9" t="s">
        <v>55</v>
      </c>
      <c r="F768" s="6">
        <v>1500000.0</v>
      </c>
      <c r="G768" s="7">
        <v>0.0</v>
      </c>
      <c r="H768" s="12" t="str">
        <f t="array" ref="H768">XLOOKUP(C:C,Sheet3!A:A,Sheet3!B:B)</f>
        <v>#N/A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1" t="s">
        <v>12</v>
      </c>
      <c r="B769" s="11" t="s">
        <v>8</v>
      </c>
      <c r="C769" s="9" t="s">
        <v>623</v>
      </c>
      <c r="D769" s="9" t="s">
        <v>16</v>
      </c>
      <c r="E769" s="9" t="s">
        <v>33</v>
      </c>
      <c r="F769" s="6">
        <v>0.0</v>
      </c>
      <c r="G769" s="7">
        <v>0.0</v>
      </c>
      <c r="H769" s="12" t="str">
        <f t="array" ref="H769">XLOOKUP(C:C,Sheet3!A:A,Sheet3!B:B)</f>
        <v>#N/A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1" t="s">
        <v>12</v>
      </c>
      <c r="B770" s="11" t="s">
        <v>13</v>
      </c>
      <c r="C770" s="9" t="s">
        <v>624</v>
      </c>
      <c r="D770" s="9" t="s">
        <v>16</v>
      </c>
      <c r="E770" s="10" t="s">
        <v>14</v>
      </c>
      <c r="F770" s="6">
        <v>0.0</v>
      </c>
      <c r="G770" s="7">
        <v>0.0</v>
      </c>
      <c r="H770" s="12">
        <v>0.0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1" t="s">
        <v>12</v>
      </c>
      <c r="B771" s="11" t="s">
        <v>8</v>
      </c>
      <c r="C771" s="9" t="s">
        <v>625</v>
      </c>
      <c r="D771" s="9" t="s">
        <v>48</v>
      </c>
      <c r="E771" s="9" t="s">
        <v>17</v>
      </c>
      <c r="F771" s="6">
        <v>909000.0</v>
      </c>
      <c r="G771" s="7">
        <v>838660.0</v>
      </c>
      <c r="H771" s="12" t="str">
        <f t="array" ref="H771">XLOOKUP(C:C,Sheet3!A:A,Sheet3!B:B)</f>
        <v>#N/A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1" t="s">
        <v>12</v>
      </c>
      <c r="B772" s="11" t="s">
        <v>13</v>
      </c>
      <c r="C772" s="9" t="s">
        <v>625</v>
      </c>
      <c r="D772" s="9" t="s">
        <v>48</v>
      </c>
      <c r="E772" s="9" t="s">
        <v>49</v>
      </c>
      <c r="F772" s="6">
        <v>400000.0</v>
      </c>
      <c r="G772" s="7">
        <v>0.0</v>
      </c>
      <c r="H772" s="12" t="str">
        <f t="array" ref="H772">XLOOKUP(C:C,Sheet3!A:A,Sheet3!B:B)</f>
        <v>#N/A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1" t="s">
        <v>12</v>
      </c>
      <c r="B773" s="11" t="s">
        <v>13</v>
      </c>
      <c r="C773" s="9" t="s">
        <v>626</v>
      </c>
      <c r="D773" s="9" t="s">
        <v>16</v>
      </c>
      <c r="E773" s="10" t="s">
        <v>14</v>
      </c>
      <c r="F773" s="6">
        <v>0.0</v>
      </c>
      <c r="G773" s="7">
        <v>0.0</v>
      </c>
      <c r="H773" s="12">
        <v>0.0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1" t="s">
        <v>12</v>
      </c>
      <c r="B774" s="11" t="s">
        <v>13</v>
      </c>
      <c r="C774" s="9" t="s">
        <v>627</v>
      </c>
      <c r="D774" s="9" t="s">
        <v>16</v>
      </c>
      <c r="E774" s="10" t="s">
        <v>14</v>
      </c>
      <c r="F774" s="6">
        <v>0.0</v>
      </c>
      <c r="G774" s="7">
        <v>0.0</v>
      </c>
      <c r="H774" s="12">
        <v>0.0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1" t="s">
        <v>7</v>
      </c>
      <c r="B775" s="11" t="s">
        <v>8</v>
      </c>
      <c r="C775" s="9" t="s">
        <v>628</v>
      </c>
      <c r="D775" s="9" t="s">
        <v>10</v>
      </c>
      <c r="E775" s="9" t="s">
        <v>11</v>
      </c>
      <c r="F775" s="6">
        <v>0.0</v>
      </c>
      <c r="G775" s="7">
        <v>0.0</v>
      </c>
      <c r="H775" s="12" t="str">
        <f t="array" ref="H775">XLOOKUP(C:C,Sheet3!A:A,Sheet3!B:B)</f>
        <v>#N/A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1" t="s">
        <v>12</v>
      </c>
      <c r="B776" s="11" t="s">
        <v>13</v>
      </c>
      <c r="C776" s="9" t="s">
        <v>628</v>
      </c>
      <c r="D776" s="9" t="s">
        <v>10</v>
      </c>
      <c r="E776" s="10" t="s">
        <v>14</v>
      </c>
      <c r="F776" s="6">
        <v>0.0</v>
      </c>
      <c r="G776" s="7">
        <v>0.0</v>
      </c>
      <c r="H776" s="12" t="str">
        <f t="array" ref="H776">XLOOKUP(C:C,Sheet3!A:A,Sheet3!B:B)</f>
        <v>#N/A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1" t="s">
        <v>12</v>
      </c>
      <c r="B777" s="11" t="s">
        <v>8</v>
      </c>
      <c r="C777" s="9" t="s">
        <v>628</v>
      </c>
      <c r="D777" s="9" t="s">
        <v>10</v>
      </c>
      <c r="E777" s="9" t="s">
        <v>11</v>
      </c>
      <c r="F777" s="6">
        <v>850000.0</v>
      </c>
      <c r="G777" s="7">
        <v>0.0</v>
      </c>
      <c r="H777" s="12" t="str">
        <f t="array" ref="H777">XLOOKUP(C:C,Sheet3!A:A,Sheet3!B:B)</f>
        <v>#N/A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1" t="s">
        <v>12</v>
      </c>
      <c r="B778" s="11" t="s">
        <v>13</v>
      </c>
      <c r="C778" s="9" t="s">
        <v>629</v>
      </c>
      <c r="D778" s="9" t="s">
        <v>16</v>
      </c>
      <c r="E778" s="9" t="s">
        <v>11</v>
      </c>
      <c r="F778" s="6">
        <v>0.0</v>
      </c>
      <c r="G778" s="7">
        <v>0.0</v>
      </c>
      <c r="H778" s="12" t="str">
        <f t="array" ref="H778">XLOOKUP(C:C,Sheet3!A:A,Sheet3!B:B)</f>
        <v>#N/A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1" t="s">
        <v>7</v>
      </c>
      <c r="B779" s="11" t="s">
        <v>13</v>
      </c>
      <c r="C779" s="9" t="s">
        <v>630</v>
      </c>
      <c r="D779" s="9" t="s">
        <v>16</v>
      </c>
      <c r="E779" s="10" t="s">
        <v>14</v>
      </c>
      <c r="F779" s="6">
        <v>0.0</v>
      </c>
      <c r="G779" s="7">
        <v>0.0</v>
      </c>
      <c r="H779" s="12">
        <v>0.0</v>
      </c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1" t="s">
        <v>12</v>
      </c>
      <c r="B780" s="11" t="s">
        <v>13</v>
      </c>
      <c r="C780" s="9" t="s">
        <v>630</v>
      </c>
      <c r="D780" s="9" t="s">
        <v>16</v>
      </c>
      <c r="E780" s="9" t="s">
        <v>96</v>
      </c>
      <c r="F780" s="6">
        <v>500000.0</v>
      </c>
      <c r="G780" s="7">
        <v>0.0</v>
      </c>
      <c r="H780" s="12">
        <v>0.0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1" t="s">
        <v>12</v>
      </c>
      <c r="B781" s="11" t="s">
        <v>13</v>
      </c>
      <c r="C781" s="9" t="s">
        <v>631</v>
      </c>
      <c r="D781" s="9" t="s">
        <v>16</v>
      </c>
      <c r="E781" s="10" t="s">
        <v>14</v>
      </c>
      <c r="F781" s="6">
        <v>0.0</v>
      </c>
      <c r="G781" s="7">
        <v>0.0</v>
      </c>
      <c r="H781" s="12">
        <v>0.0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1" t="s">
        <v>12</v>
      </c>
      <c r="B782" s="11" t="s">
        <v>8</v>
      </c>
      <c r="C782" s="9" t="s">
        <v>632</v>
      </c>
      <c r="D782" s="9" t="s">
        <v>16</v>
      </c>
      <c r="E782" s="10" t="s">
        <v>14</v>
      </c>
      <c r="F782" s="6">
        <v>0.0</v>
      </c>
      <c r="G782" s="7">
        <v>0.0</v>
      </c>
      <c r="H782" s="12">
        <v>0.0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1" t="s">
        <v>12</v>
      </c>
      <c r="B783" s="11" t="s">
        <v>13</v>
      </c>
      <c r="C783" s="9" t="s">
        <v>633</v>
      </c>
      <c r="D783" s="9" t="s">
        <v>16</v>
      </c>
      <c r="E783" s="10" t="s">
        <v>14</v>
      </c>
      <c r="F783" s="6">
        <v>0.0</v>
      </c>
      <c r="G783" s="7">
        <v>0.0</v>
      </c>
      <c r="H783" s="12">
        <v>0.0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1" t="s">
        <v>12</v>
      </c>
      <c r="B784" s="11" t="s">
        <v>13</v>
      </c>
      <c r="C784" s="9" t="s">
        <v>634</v>
      </c>
      <c r="D784" s="9" t="s">
        <v>16</v>
      </c>
      <c r="E784" s="10" t="s">
        <v>14</v>
      </c>
      <c r="F784" s="6">
        <v>0.0</v>
      </c>
      <c r="G784" s="7">
        <v>0.0</v>
      </c>
      <c r="H784" s="12">
        <v>0.0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1" t="s">
        <v>7</v>
      </c>
      <c r="B785" s="11" t="s">
        <v>13</v>
      </c>
      <c r="C785" s="9" t="s">
        <v>635</v>
      </c>
      <c r="D785" s="9" t="s">
        <v>115</v>
      </c>
      <c r="E785" s="10" t="s">
        <v>14</v>
      </c>
      <c r="F785" s="6">
        <v>0.0</v>
      </c>
      <c r="G785" s="7">
        <v>0.0</v>
      </c>
      <c r="H785" s="12" t="str">
        <f t="array" ref="H785">XLOOKUP(C:C,Sheet3!A:A,Sheet3!B:B)</f>
        <v>#N/A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1" t="s">
        <v>12</v>
      </c>
      <c r="B786" s="11" t="s">
        <v>13</v>
      </c>
      <c r="C786" s="9" t="s">
        <v>635</v>
      </c>
      <c r="D786" s="9" t="s">
        <v>115</v>
      </c>
      <c r="E786" s="9" t="s">
        <v>84</v>
      </c>
      <c r="F786" s="6">
        <v>100000.0</v>
      </c>
      <c r="G786" s="7">
        <v>0.0</v>
      </c>
      <c r="H786" s="12" t="str">
        <f t="array" ref="H786">XLOOKUP(C:C,Sheet3!A:A,Sheet3!B:B)</f>
        <v>#N/A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1" t="s">
        <v>12</v>
      </c>
      <c r="B787" s="11" t="s">
        <v>13</v>
      </c>
      <c r="C787" s="9" t="s">
        <v>636</v>
      </c>
      <c r="D787" s="9" t="s">
        <v>16</v>
      </c>
      <c r="E787" s="10" t="s">
        <v>14</v>
      </c>
      <c r="F787" s="6">
        <v>0.0</v>
      </c>
      <c r="G787" s="7">
        <v>0.0</v>
      </c>
      <c r="H787" s="12">
        <v>0.0</v>
      </c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1" t="s">
        <v>12</v>
      </c>
      <c r="B788" s="11" t="s">
        <v>13</v>
      </c>
      <c r="C788" s="9" t="s">
        <v>637</v>
      </c>
      <c r="D788" s="9" t="s">
        <v>16</v>
      </c>
      <c r="E788" s="10" t="s">
        <v>14</v>
      </c>
      <c r="F788" s="6">
        <v>0.0</v>
      </c>
      <c r="G788" s="7">
        <v>0.0</v>
      </c>
      <c r="H788" s="12">
        <v>0.0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1" t="s">
        <v>12</v>
      </c>
      <c r="B789" s="11" t="s">
        <v>13</v>
      </c>
      <c r="C789" s="9" t="s">
        <v>638</v>
      </c>
      <c r="D789" s="9" t="s">
        <v>16</v>
      </c>
      <c r="E789" s="10" t="s">
        <v>14</v>
      </c>
      <c r="F789" s="6">
        <v>0.0</v>
      </c>
      <c r="G789" s="7">
        <v>0.0</v>
      </c>
      <c r="H789" s="12">
        <v>0.0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1" t="s">
        <v>12</v>
      </c>
      <c r="B790" s="11" t="s">
        <v>13</v>
      </c>
      <c r="C790" s="9" t="s">
        <v>639</v>
      </c>
      <c r="D790" s="9" t="s">
        <v>16</v>
      </c>
      <c r="E790" s="10" t="s">
        <v>14</v>
      </c>
      <c r="F790" s="6">
        <v>11000.0</v>
      </c>
      <c r="G790" s="7">
        <v>13098.0</v>
      </c>
      <c r="H790" s="12">
        <v>0.0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1" t="s">
        <v>7</v>
      </c>
      <c r="B791" s="11" t="s">
        <v>13</v>
      </c>
      <c r="C791" s="9" t="s">
        <v>640</v>
      </c>
      <c r="D791" s="9" t="s">
        <v>26</v>
      </c>
      <c r="E791" s="9" t="s">
        <v>17</v>
      </c>
      <c r="F791" s="6">
        <v>0.0</v>
      </c>
      <c r="G791" s="7">
        <v>0.0</v>
      </c>
      <c r="H791" s="12" t="str">
        <f t="array" ref="H791">XLOOKUP(C:C,Sheet3!A:A,Sheet3!B:B)</f>
        <v>#N/A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1" t="s">
        <v>12</v>
      </c>
      <c r="B792" s="11" t="s">
        <v>13</v>
      </c>
      <c r="C792" s="9" t="s">
        <v>640</v>
      </c>
      <c r="D792" s="9" t="s">
        <v>26</v>
      </c>
      <c r="E792" s="10" t="s">
        <v>14</v>
      </c>
      <c r="F792" s="6">
        <v>0.0</v>
      </c>
      <c r="G792" s="7">
        <v>0.0</v>
      </c>
      <c r="H792" s="12" t="str">
        <f t="array" ref="H792">XLOOKUP(C:C,Sheet3!A:A,Sheet3!B:B)</f>
        <v>#N/A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1" t="s">
        <v>12</v>
      </c>
      <c r="B793" s="11" t="s">
        <v>13</v>
      </c>
      <c r="C793" s="9" t="s">
        <v>641</v>
      </c>
      <c r="D793" s="9" t="s">
        <v>16</v>
      </c>
      <c r="E793" s="10" t="s">
        <v>14</v>
      </c>
      <c r="F793" s="6">
        <v>0.0</v>
      </c>
      <c r="G793" s="7">
        <v>0.0</v>
      </c>
      <c r="H793" s="12">
        <v>0.0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1" t="s">
        <v>12</v>
      </c>
      <c r="B794" s="11" t="s">
        <v>13</v>
      </c>
      <c r="C794" s="9" t="s">
        <v>642</v>
      </c>
      <c r="D794" s="9" t="s">
        <v>16</v>
      </c>
      <c r="E794" s="9" t="s">
        <v>11</v>
      </c>
      <c r="F794" s="6">
        <v>1179000.0</v>
      </c>
      <c r="G794" s="7">
        <v>0.0</v>
      </c>
      <c r="H794" s="12">
        <v>0.0</v>
      </c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1" t="s">
        <v>12</v>
      </c>
      <c r="B795" s="11" t="s">
        <v>8</v>
      </c>
      <c r="C795" s="9" t="s">
        <v>642</v>
      </c>
      <c r="D795" s="9" t="s">
        <v>16</v>
      </c>
      <c r="E795" s="9" t="s">
        <v>49</v>
      </c>
      <c r="F795" s="6">
        <v>1500000.0</v>
      </c>
      <c r="G795" s="7">
        <v>0.0</v>
      </c>
      <c r="H795" s="12">
        <v>0.0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1" t="s">
        <v>7</v>
      </c>
      <c r="B796" s="11" t="s">
        <v>8</v>
      </c>
      <c r="C796" s="9" t="s">
        <v>643</v>
      </c>
      <c r="D796" s="9" t="s">
        <v>48</v>
      </c>
      <c r="E796" s="9" t="s">
        <v>11</v>
      </c>
      <c r="F796" s="6">
        <v>0.0</v>
      </c>
      <c r="G796" s="7">
        <v>0.0</v>
      </c>
      <c r="H796" s="12" t="str">
        <f t="array" ref="H796">XLOOKUP(C:C,Sheet3!A:A,Sheet3!B:B)</f>
        <v>#N/A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1" t="s">
        <v>12</v>
      </c>
      <c r="B797" s="11" t="s">
        <v>8</v>
      </c>
      <c r="C797" s="9" t="s">
        <v>643</v>
      </c>
      <c r="D797" s="9" t="s">
        <v>48</v>
      </c>
      <c r="E797" s="9" t="s">
        <v>11</v>
      </c>
      <c r="F797" s="6">
        <v>3000000.0</v>
      </c>
      <c r="G797" s="7">
        <v>433837.8</v>
      </c>
      <c r="H797" s="12" t="str">
        <f t="array" ref="H797">XLOOKUP(C:C,Sheet3!A:A,Sheet3!B:B)</f>
        <v>#N/A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1" t="s">
        <v>7</v>
      </c>
      <c r="B798" s="11" t="s">
        <v>13</v>
      </c>
      <c r="C798" s="9" t="s">
        <v>644</v>
      </c>
      <c r="D798" s="9" t="s">
        <v>19</v>
      </c>
      <c r="E798" s="9" t="s">
        <v>223</v>
      </c>
      <c r="F798" s="6">
        <v>700000.0</v>
      </c>
      <c r="G798" s="7">
        <v>0.0</v>
      </c>
      <c r="H798" s="12" t="str">
        <f t="array" ref="H798">XLOOKUP(C:C,Sheet3!A:A,Sheet3!B:B)</f>
        <v>#N/A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1" t="s">
        <v>12</v>
      </c>
      <c r="B799" s="11" t="s">
        <v>13</v>
      </c>
      <c r="C799" s="9" t="s">
        <v>644</v>
      </c>
      <c r="D799" s="9" t="s">
        <v>19</v>
      </c>
      <c r="E799" s="9" t="s">
        <v>96</v>
      </c>
      <c r="F799" s="6">
        <v>700000.0</v>
      </c>
      <c r="G799" s="7">
        <v>489435.0</v>
      </c>
      <c r="H799" s="12" t="str">
        <f t="array" ref="H799">XLOOKUP(C:C,Sheet3!A:A,Sheet3!B:B)</f>
        <v>#N/A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1" t="s">
        <v>12</v>
      </c>
      <c r="B800" s="11" t="s">
        <v>13</v>
      </c>
      <c r="C800" s="9" t="s">
        <v>645</v>
      </c>
      <c r="D800" s="9" t="s">
        <v>16</v>
      </c>
      <c r="E800" s="10" t="s">
        <v>14</v>
      </c>
      <c r="F800" s="6">
        <v>0.0</v>
      </c>
      <c r="G800" s="7">
        <v>500000.0</v>
      </c>
      <c r="H800" s="12" t="str">
        <f t="array" ref="H800">XLOOKUP(C:C,Sheet3!A:A,Sheet3!B:B)</f>
        <v>#N/A</v>
      </c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1" t="s">
        <v>12</v>
      </c>
      <c r="B801" s="11" t="s">
        <v>8</v>
      </c>
      <c r="C801" s="9" t="s">
        <v>646</v>
      </c>
      <c r="D801" s="9" t="s">
        <v>16</v>
      </c>
      <c r="E801" s="10" t="s">
        <v>14</v>
      </c>
      <c r="F801" s="6">
        <v>0.0</v>
      </c>
      <c r="G801" s="7">
        <v>0.0</v>
      </c>
      <c r="H801" s="12">
        <v>0.0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1" t="s">
        <v>12</v>
      </c>
      <c r="B802" s="11" t="s">
        <v>13</v>
      </c>
      <c r="C802" s="9" t="s">
        <v>647</v>
      </c>
      <c r="D802" s="9" t="s">
        <v>16</v>
      </c>
      <c r="E802" s="10" t="s">
        <v>14</v>
      </c>
      <c r="F802" s="6">
        <v>1.0</v>
      </c>
      <c r="G802" s="7">
        <v>0.0</v>
      </c>
      <c r="H802" s="12" t="str">
        <f t="array" ref="H802">XLOOKUP(C:C,Sheet3!A:A,Sheet3!B:B)</f>
        <v>#N/A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1" t="s">
        <v>7</v>
      </c>
      <c r="B803" s="11" t="s">
        <v>13</v>
      </c>
      <c r="C803" s="9" t="s">
        <v>648</v>
      </c>
      <c r="D803" s="9" t="s">
        <v>48</v>
      </c>
      <c r="E803" s="9" t="s">
        <v>173</v>
      </c>
      <c r="F803" s="6">
        <v>2050000.0</v>
      </c>
      <c r="G803" s="7">
        <v>0.0</v>
      </c>
      <c r="H803" s="12" t="str">
        <f t="array" ref="H803">XLOOKUP(C:C,Sheet3!A:A,Sheet3!B:B)</f>
        <v>#N/A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1" t="s">
        <v>12</v>
      </c>
      <c r="B804" s="11" t="s">
        <v>13</v>
      </c>
      <c r="C804" s="9" t="s">
        <v>648</v>
      </c>
      <c r="D804" s="9" t="s">
        <v>48</v>
      </c>
      <c r="E804" s="9" t="s">
        <v>11</v>
      </c>
      <c r="F804" s="6">
        <v>2055000.0</v>
      </c>
      <c r="G804" s="7">
        <v>2168904.0</v>
      </c>
      <c r="H804" s="12" t="str">
        <f t="array" ref="H804">XLOOKUP(C:C,Sheet3!A:A,Sheet3!B:B)</f>
        <v>#N/A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1" t="s">
        <v>12</v>
      </c>
      <c r="B805" s="11" t="s">
        <v>13</v>
      </c>
      <c r="C805" s="9" t="s">
        <v>649</v>
      </c>
      <c r="D805" s="9" t="s">
        <v>16</v>
      </c>
      <c r="E805" s="10" t="s">
        <v>14</v>
      </c>
      <c r="F805" s="6">
        <v>0.0</v>
      </c>
      <c r="G805" s="7">
        <v>0.0</v>
      </c>
      <c r="H805" s="12">
        <v>0.0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1" t="s">
        <v>12</v>
      </c>
      <c r="B806" s="11" t="s">
        <v>13</v>
      </c>
      <c r="C806" s="9" t="s">
        <v>650</v>
      </c>
      <c r="D806" s="9" t="s">
        <v>16</v>
      </c>
      <c r="E806" s="10" t="s">
        <v>14</v>
      </c>
      <c r="F806" s="6">
        <v>478000.0</v>
      </c>
      <c r="G806" s="7">
        <v>0.0</v>
      </c>
      <c r="H806" s="12">
        <v>0.0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1" t="s">
        <v>12</v>
      </c>
      <c r="B807" s="11" t="s">
        <v>8</v>
      </c>
      <c r="C807" s="9" t="s">
        <v>651</v>
      </c>
      <c r="D807" s="9" t="s">
        <v>48</v>
      </c>
      <c r="E807" s="10" t="s">
        <v>14</v>
      </c>
      <c r="F807" s="6">
        <v>3200000.0</v>
      </c>
      <c r="G807" s="7">
        <v>0.0</v>
      </c>
      <c r="H807" s="12" t="str">
        <f t="array" ref="H807">XLOOKUP(C:C,Sheet3!A:A,Sheet3!B:B)</f>
        <v>#N/A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1" t="s">
        <v>12</v>
      </c>
      <c r="B808" s="11" t="s">
        <v>8</v>
      </c>
      <c r="C808" s="9" t="s">
        <v>652</v>
      </c>
      <c r="D808" s="9" t="s">
        <v>16</v>
      </c>
      <c r="E808" s="10" t="s">
        <v>14</v>
      </c>
      <c r="F808" s="6">
        <v>2000000.0</v>
      </c>
      <c r="G808" s="7">
        <v>305.0</v>
      </c>
      <c r="H808" s="12" t="str">
        <f t="array" ref="H808">XLOOKUP(C:C,Sheet3!A:A,Sheet3!B:B)</f>
        <v>#N/A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1" t="s">
        <v>12</v>
      </c>
      <c r="B809" s="11" t="s">
        <v>13</v>
      </c>
      <c r="C809" s="9" t="s">
        <v>652</v>
      </c>
      <c r="D809" s="9" t="s">
        <v>16</v>
      </c>
      <c r="E809" s="10" t="s">
        <v>14</v>
      </c>
      <c r="F809" s="6">
        <v>2934000.0</v>
      </c>
      <c r="G809" s="7">
        <v>0.0</v>
      </c>
      <c r="H809" s="12" t="str">
        <f t="array" ref="H809">XLOOKUP(C:C,Sheet3!A:A,Sheet3!B:B)</f>
        <v>#N/A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1" t="s">
        <v>12</v>
      </c>
      <c r="B810" s="11" t="s">
        <v>13</v>
      </c>
      <c r="C810" s="9" t="s">
        <v>653</v>
      </c>
      <c r="D810" s="9" t="s">
        <v>16</v>
      </c>
      <c r="E810" s="10" t="s">
        <v>14</v>
      </c>
      <c r="F810" s="6">
        <v>0.0</v>
      </c>
      <c r="G810" s="7">
        <v>0.0</v>
      </c>
      <c r="H810" s="12">
        <v>0.0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1" t="s">
        <v>12</v>
      </c>
      <c r="B811" s="11" t="s">
        <v>13</v>
      </c>
      <c r="C811" s="9" t="s">
        <v>654</v>
      </c>
      <c r="D811" s="9" t="s">
        <v>16</v>
      </c>
      <c r="E811" s="10" t="s">
        <v>14</v>
      </c>
      <c r="F811" s="6">
        <v>0.0</v>
      </c>
      <c r="G811" s="7">
        <v>0.0</v>
      </c>
      <c r="H811" s="12">
        <v>0.0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1" t="s">
        <v>7</v>
      </c>
      <c r="B812" s="11" t="s">
        <v>13</v>
      </c>
      <c r="C812" s="9" t="s">
        <v>655</v>
      </c>
      <c r="D812" s="9" t="s">
        <v>16</v>
      </c>
      <c r="E812" s="9" t="s">
        <v>23</v>
      </c>
      <c r="F812" s="6">
        <v>500000.0</v>
      </c>
      <c r="G812" s="7">
        <v>0.0</v>
      </c>
      <c r="H812" s="12" t="str">
        <f t="array" ref="H812">XLOOKUP(C:C,Sheet3!A:A,Sheet3!B:B)</f>
        <v>#N/A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1" t="s">
        <v>12</v>
      </c>
      <c r="B813" s="11" t="s">
        <v>13</v>
      </c>
      <c r="C813" s="9" t="s">
        <v>655</v>
      </c>
      <c r="D813" s="9" t="s">
        <v>16</v>
      </c>
      <c r="E813" s="9" t="s">
        <v>17</v>
      </c>
      <c r="F813" s="6">
        <v>500000.0</v>
      </c>
      <c r="G813" s="7">
        <v>226973.0</v>
      </c>
      <c r="H813" s="12" t="str">
        <f t="array" ref="H813">XLOOKUP(C:C,Sheet3!A:A,Sheet3!B:B)</f>
        <v>#N/A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1" t="s">
        <v>12</v>
      </c>
      <c r="B814" s="11" t="s">
        <v>13</v>
      </c>
      <c r="C814" s="9" t="s">
        <v>656</v>
      </c>
      <c r="D814" s="9" t="s">
        <v>16</v>
      </c>
      <c r="E814" s="10" t="s">
        <v>14</v>
      </c>
      <c r="F814" s="6">
        <v>0.0</v>
      </c>
      <c r="G814" s="7">
        <v>0.0</v>
      </c>
      <c r="H814" s="12">
        <v>0.0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1" t="s">
        <v>12</v>
      </c>
      <c r="B815" s="11" t="s">
        <v>8</v>
      </c>
      <c r="C815" s="9" t="s">
        <v>657</v>
      </c>
      <c r="D815" s="9" t="s">
        <v>16</v>
      </c>
      <c r="E815" s="9" t="s">
        <v>33</v>
      </c>
      <c r="F815" s="6">
        <v>0.0</v>
      </c>
      <c r="G815" s="7">
        <v>0.0</v>
      </c>
      <c r="H815" s="12">
        <v>0.0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1" t="s">
        <v>12</v>
      </c>
      <c r="B816" s="11" t="s">
        <v>13</v>
      </c>
      <c r="C816" s="9" t="s">
        <v>658</v>
      </c>
      <c r="D816" s="9" t="s">
        <v>16</v>
      </c>
      <c r="E816" s="10" t="s">
        <v>14</v>
      </c>
      <c r="F816" s="6">
        <v>0.0</v>
      </c>
      <c r="G816" s="7">
        <v>0.0</v>
      </c>
      <c r="H816" s="12">
        <v>0.0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1" t="s">
        <v>12</v>
      </c>
      <c r="B817" s="11" t="s">
        <v>13</v>
      </c>
      <c r="C817" s="9" t="s">
        <v>659</v>
      </c>
      <c r="D817" s="9" t="s">
        <v>16</v>
      </c>
      <c r="E817" s="10" t="s">
        <v>14</v>
      </c>
      <c r="F817" s="6">
        <v>0.0</v>
      </c>
      <c r="G817" s="7">
        <v>0.0</v>
      </c>
      <c r="H817" s="12">
        <v>0.0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1" t="s">
        <v>12</v>
      </c>
      <c r="B818" s="11" t="s">
        <v>13</v>
      </c>
      <c r="C818" s="9" t="s">
        <v>660</v>
      </c>
      <c r="D818" s="9" t="s">
        <v>16</v>
      </c>
      <c r="E818" s="10" t="s">
        <v>14</v>
      </c>
      <c r="F818" s="6">
        <v>0.0</v>
      </c>
      <c r="G818" s="7">
        <v>0.0</v>
      </c>
      <c r="H818" s="12">
        <v>0.0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1" t="s">
        <v>7</v>
      </c>
      <c r="B819" s="11" t="s">
        <v>13</v>
      </c>
      <c r="C819" s="9" t="s">
        <v>661</v>
      </c>
      <c r="D819" s="9" t="s">
        <v>26</v>
      </c>
      <c r="E819" s="9" t="s">
        <v>49</v>
      </c>
      <c r="F819" s="6">
        <v>1000000.0</v>
      </c>
      <c r="G819" s="7">
        <v>0.0</v>
      </c>
      <c r="H819" s="12" t="str">
        <f t="array" ref="H819">XLOOKUP(C:C,Sheet3!A:A,Sheet3!B:B)</f>
        <v>#N/A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1" t="s">
        <v>12</v>
      </c>
      <c r="B820" s="11" t="s">
        <v>13</v>
      </c>
      <c r="C820" s="9" t="s">
        <v>661</v>
      </c>
      <c r="D820" s="9" t="s">
        <v>26</v>
      </c>
      <c r="E820" s="9" t="s">
        <v>49</v>
      </c>
      <c r="F820" s="6">
        <v>2000000.0</v>
      </c>
      <c r="G820" s="7">
        <v>1127749.0</v>
      </c>
      <c r="H820" s="12" t="str">
        <f t="array" ref="H820">XLOOKUP(C:C,Sheet3!A:A,Sheet3!B:B)</f>
        <v>#N/A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1" t="s">
        <v>12</v>
      </c>
      <c r="B821" s="11" t="s">
        <v>13</v>
      </c>
      <c r="C821" s="9" t="s">
        <v>662</v>
      </c>
      <c r="D821" s="9" t="s">
        <v>16</v>
      </c>
      <c r="E821" s="10" t="s">
        <v>14</v>
      </c>
      <c r="F821" s="6">
        <v>0.0</v>
      </c>
      <c r="G821" s="7">
        <v>0.0</v>
      </c>
      <c r="H821" s="12">
        <v>0.0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1" t="s">
        <v>7</v>
      </c>
      <c r="B822" s="11" t="s">
        <v>8</v>
      </c>
      <c r="C822" s="9" t="s">
        <v>663</v>
      </c>
      <c r="D822" s="9" t="s">
        <v>16</v>
      </c>
      <c r="E822" s="10" t="s">
        <v>14</v>
      </c>
      <c r="F822" s="6">
        <v>0.0</v>
      </c>
      <c r="G822" s="7">
        <v>0.0</v>
      </c>
      <c r="H822" s="12">
        <v>0.0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1" t="s">
        <v>12</v>
      </c>
      <c r="B823" s="11" t="s">
        <v>13</v>
      </c>
      <c r="C823" s="9" t="s">
        <v>663</v>
      </c>
      <c r="D823" s="9" t="s">
        <v>16</v>
      </c>
      <c r="E823" s="10" t="s">
        <v>14</v>
      </c>
      <c r="F823" s="6">
        <v>0.0</v>
      </c>
      <c r="G823" s="7">
        <v>0.0</v>
      </c>
      <c r="H823" s="12">
        <v>0.0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1" t="s">
        <v>12</v>
      </c>
      <c r="B824" s="11" t="s">
        <v>13</v>
      </c>
      <c r="C824" s="9" t="s">
        <v>664</v>
      </c>
      <c r="D824" s="9" t="s">
        <v>16</v>
      </c>
      <c r="E824" s="9" t="s">
        <v>49</v>
      </c>
      <c r="F824" s="6">
        <v>0.0</v>
      </c>
      <c r="G824" s="7">
        <v>0.0</v>
      </c>
      <c r="H824" s="12">
        <v>0.0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1" t="s">
        <v>12</v>
      </c>
      <c r="B825" s="11" t="s">
        <v>8</v>
      </c>
      <c r="C825" s="9" t="s">
        <v>664</v>
      </c>
      <c r="D825" s="9" t="s">
        <v>16</v>
      </c>
      <c r="E825" s="10" t="s">
        <v>14</v>
      </c>
      <c r="F825" s="6">
        <v>1.0</v>
      </c>
      <c r="G825" s="7">
        <v>0.0</v>
      </c>
      <c r="H825" s="12">
        <v>0.0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1" t="s">
        <v>12</v>
      </c>
      <c r="B826" s="11" t="s">
        <v>13</v>
      </c>
      <c r="C826" s="9" t="s">
        <v>665</v>
      </c>
      <c r="D826" s="9" t="s">
        <v>16</v>
      </c>
      <c r="E826" s="10" t="s">
        <v>14</v>
      </c>
      <c r="F826" s="6">
        <v>0.0</v>
      </c>
      <c r="G826" s="7">
        <v>0.0</v>
      </c>
      <c r="H826" s="12">
        <v>0.0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1" t="s">
        <v>12</v>
      </c>
      <c r="B827" s="11" t="s">
        <v>8</v>
      </c>
      <c r="C827" s="9" t="s">
        <v>666</v>
      </c>
      <c r="D827" s="9" t="s">
        <v>48</v>
      </c>
      <c r="E827" s="9" t="s">
        <v>11</v>
      </c>
      <c r="F827" s="6">
        <v>932000.0</v>
      </c>
      <c r="G827" s="7">
        <v>568921.0</v>
      </c>
      <c r="H827" s="12" t="str">
        <f t="array" ref="H827">XLOOKUP(C:C,Sheet3!A:A,Sheet3!B:B)</f>
        <v>#N/A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1" t="s">
        <v>12</v>
      </c>
      <c r="B828" s="11" t="s">
        <v>13</v>
      </c>
      <c r="C828" s="9" t="s">
        <v>667</v>
      </c>
      <c r="D828" s="9" t="s">
        <v>16</v>
      </c>
      <c r="E828" s="9" t="s">
        <v>96</v>
      </c>
      <c r="F828" s="6">
        <v>2000000.0</v>
      </c>
      <c r="G828" s="7">
        <v>2167579.0</v>
      </c>
      <c r="H828" s="12" t="str">
        <f t="array" ref="H828">XLOOKUP(C:C,Sheet3!A:A,Sheet3!B:B)</f>
        <v>#N/A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1" t="s">
        <v>12</v>
      </c>
      <c r="B829" s="11" t="s">
        <v>13</v>
      </c>
      <c r="C829" s="9" t="s">
        <v>668</v>
      </c>
      <c r="D829" s="9" t="s">
        <v>16</v>
      </c>
      <c r="E829" s="10" t="s">
        <v>14</v>
      </c>
      <c r="F829" s="6">
        <v>0.0</v>
      </c>
      <c r="G829" s="7">
        <v>1.3254E7</v>
      </c>
      <c r="H829" s="12" t="str">
        <f t="array" ref="H829">XLOOKUP(C:C,Sheet3!A:A,Sheet3!B:B)</f>
        <v>#N/A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1" t="s">
        <v>12</v>
      </c>
      <c r="B830" s="11" t="s">
        <v>13</v>
      </c>
      <c r="C830" s="9" t="s">
        <v>669</v>
      </c>
      <c r="D830" s="9" t="s">
        <v>16</v>
      </c>
      <c r="E830" s="9" t="s">
        <v>17</v>
      </c>
      <c r="F830" s="6">
        <v>156000.0</v>
      </c>
      <c r="G830" s="7">
        <v>198771.0</v>
      </c>
      <c r="H830" s="12" t="str">
        <f t="array" ref="H830">XLOOKUP(C:C,Sheet3!A:A,Sheet3!B:B)</f>
        <v>#N/A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1" t="s">
        <v>7</v>
      </c>
      <c r="B831" s="11" t="s">
        <v>13</v>
      </c>
      <c r="C831" s="9" t="s">
        <v>670</v>
      </c>
      <c r="D831" s="9" t="s">
        <v>16</v>
      </c>
      <c r="E831" s="10" t="s">
        <v>14</v>
      </c>
      <c r="F831" s="6">
        <v>0.0</v>
      </c>
      <c r="G831" s="7">
        <v>0.0</v>
      </c>
      <c r="H831" s="12" t="str">
        <f t="array" ref="H831">XLOOKUP(C:C,Sheet3!A:A,Sheet3!B:B)</f>
        <v>#N/A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1" t="s">
        <v>12</v>
      </c>
      <c r="B832" s="11" t="s">
        <v>13</v>
      </c>
      <c r="C832" s="9" t="s">
        <v>670</v>
      </c>
      <c r="D832" s="9" t="s">
        <v>16</v>
      </c>
      <c r="E832" s="9" t="s">
        <v>17</v>
      </c>
      <c r="F832" s="6">
        <v>7500000.0</v>
      </c>
      <c r="G832" s="7">
        <v>3056562.14</v>
      </c>
      <c r="H832" s="12" t="str">
        <f t="array" ref="H832">XLOOKUP(C:C,Sheet3!A:A,Sheet3!B:B)</f>
        <v>#N/A</v>
      </c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1" t="s">
        <v>12</v>
      </c>
      <c r="B833" s="11" t="s">
        <v>13</v>
      </c>
      <c r="C833" s="9" t="s">
        <v>671</v>
      </c>
      <c r="D833" s="9" t="s">
        <v>16</v>
      </c>
      <c r="E833" s="10" t="s">
        <v>14</v>
      </c>
      <c r="F833" s="6">
        <v>0.0</v>
      </c>
      <c r="G833" s="7">
        <v>1180000.0</v>
      </c>
      <c r="H833" s="12" t="str">
        <f t="array" ref="H833">XLOOKUP(C:C,Sheet3!A:A,Sheet3!B:B)</f>
        <v>#N/A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1" t="s">
        <v>12</v>
      </c>
      <c r="B834" s="11" t="s">
        <v>13</v>
      </c>
      <c r="C834" s="9" t="s">
        <v>672</v>
      </c>
      <c r="D834" s="9" t="s">
        <v>16</v>
      </c>
      <c r="E834" s="9" t="s">
        <v>49</v>
      </c>
      <c r="F834" s="6">
        <v>0.0</v>
      </c>
      <c r="G834" s="7">
        <v>0.0</v>
      </c>
      <c r="H834" s="12" t="str">
        <f t="array" ref="H834">XLOOKUP(C:C,Sheet3!A:A,Sheet3!B:B)</f>
        <v>#N/A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1" t="s">
        <v>12</v>
      </c>
      <c r="B835" s="11" t="s">
        <v>8</v>
      </c>
      <c r="C835" s="9" t="s">
        <v>672</v>
      </c>
      <c r="D835" s="9" t="s">
        <v>16</v>
      </c>
      <c r="E835" s="10" t="s">
        <v>14</v>
      </c>
      <c r="F835" s="6">
        <v>1.0</v>
      </c>
      <c r="G835" s="7">
        <v>0.0</v>
      </c>
      <c r="H835" s="12" t="str">
        <f t="array" ref="H835">XLOOKUP(C:C,Sheet3!A:A,Sheet3!B:B)</f>
        <v>#N/A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1" t="s">
        <v>12</v>
      </c>
      <c r="B836" s="11" t="s">
        <v>13</v>
      </c>
      <c r="C836" s="9" t="s">
        <v>673</v>
      </c>
      <c r="D836" s="9" t="s">
        <v>10</v>
      </c>
      <c r="E836" s="10" t="s">
        <v>14</v>
      </c>
      <c r="F836" s="6">
        <v>600000.0</v>
      </c>
      <c r="G836" s="7">
        <v>0.0</v>
      </c>
      <c r="H836" s="12">
        <v>0.0</v>
      </c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1" t="s">
        <v>12</v>
      </c>
      <c r="B837" s="11" t="s">
        <v>8</v>
      </c>
      <c r="C837" s="9" t="s">
        <v>673</v>
      </c>
      <c r="D837" s="9" t="s">
        <v>10</v>
      </c>
      <c r="E837" s="10" t="s">
        <v>14</v>
      </c>
      <c r="F837" s="6">
        <v>1.0</v>
      </c>
      <c r="G837" s="7">
        <v>0.0</v>
      </c>
      <c r="H837" s="12">
        <v>0.0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1" t="s">
        <v>12</v>
      </c>
      <c r="B838" s="11" t="s">
        <v>8</v>
      </c>
      <c r="C838" s="9" t="s">
        <v>674</v>
      </c>
      <c r="D838" s="9" t="s">
        <v>10</v>
      </c>
      <c r="E838" s="9" t="s">
        <v>11</v>
      </c>
      <c r="F838" s="6">
        <v>850000.0</v>
      </c>
      <c r="G838" s="7">
        <v>847883.0</v>
      </c>
      <c r="H838" s="12" t="str">
        <f t="array" ref="H838">XLOOKUP(C:C,Sheet3!A:A,Sheet3!B:B)</f>
        <v>#N/A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1" t="s">
        <v>12</v>
      </c>
      <c r="B839" s="11" t="s">
        <v>13</v>
      </c>
      <c r="C839" s="9" t="s">
        <v>674</v>
      </c>
      <c r="D839" s="9" t="s">
        <v>10</v>
      </c>
      <c r="E839" s="10" t="s">
        <v>14</v>
      </c>
      <c r="F839" s="6">
        <v>404000.0</v>
      </c>
      <c r="G839" s="7">
        <v>0.0</v>
      </c>
      <c r="H839" s="12" t="str">
        <f t="array" ref="H839">XLOOKUP(C:C,Sheet3!A:A,Sheet3!B:B)</f>
        <v>#N/A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1" t="s">
        <v>12</v>
      </c>
      <c r="B840" s="11" t="s">
        <v>13</v>
      </c>
      <c r="C840" s="9" t="s">
        <v>675</v>
      </c>
      <c r="D840" s="9" t="s">
        <v>10</v>
      </c>
      <c r="E840" s="10" t="s">
        <v>14</v>
      </c>
      <c r="F840" s="6">
        <v>0.0</v>
      </c>
      <c r="G840" s="7">
        <v>3000.0</v>
      </c>
      <c r="H840" s="12" t="str">
        <f t="array" ref="H840">XLOOKUP(C:C,Sheet3!A:A,Sheet3!B:B)</f>
        <v>#N/A</v>
      </c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1" t="s">
        <v>12</v>
      </c>
      <c r="B841" s="11" t="s">
        <v>8</v>
      </c>
      <c r="C841" s="9" t="s">
        <v>676</v>
      </c>
      <c r="D841" s="9" t="s">
        <v>16</v>
      </c>
      <c r="E841" s="10" t="s">
        <v>14</v>
      </c>
      <c r="F841" s="6">
        <v>0.0</v>
      </c>
      <c r="G841" s="7">
        <v>0.0</v>
      </c>
      <c r="H841" s="12">
        <v>0.0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1" t="s">
        <v>7</v>
      </c>
      <c r="B842" s="11" t="s">
        <v>8</v>
      </c>
      <c r="C842" s="9" t="s">
        <v>677</v>
      </c>
      <c r="D842" s="9" t="s">
        <v>10</v>
      </c>
      <c r="E842" s="9" t="s">
        <v>49</v>
      </c>
      <c r="F842" s="6">
        <v>110400.0</v>
      </c>
      <c r="G842" s="7">
        <v>0.0</v>
      </c>
      <c r="H842" s="12" t="str">
        <f t="array" ref="H842">XLOOKUP(C:C,Sheet3!A:A,Sheet3!B:B)</f>
        <v>#N/A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1" t="s">
        <v>12</v>
      </c>
      <c r="B843" s="11" t="s">
        <v>13</v>
      </c>
      <c r="C843" s="9" t="s">
        <v>677</v>
      </c>
      <c r="D843" s="9" t="s">
        <v>10</v>
      </c>
      <c r="E843" s="10" t="s">
        <v>14</v>
      </c>
      <c r="F843" s="6">
        <v>0.0</v>
      </c>
      <c r="G843" s="7">
        <v>0.0</v>
      </c>
      <c r="H843" s="12" t="str">
        <f t="array" ref="H843">XLOOKUP(C:C,Sheet3!A:A,Sheet3!B:B)</f>
        <v>#N/A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1" t="s">
        <v>12</v>
      </c>
      <c r="B844" s="11" t="s">
        <v>8</v>
      </c>
      <c r="C844" s="9" t="s">
        <v>677</v>
      </c>
      <c r="D844" s="9" t="s">
        <v>10</v>
      </c>
      <c r="E844" s="9" t="s">
        <v>49</v>
      </c>
      <c r="F844" s="6">
        <v>370000.0</v>
      </c>
      <c r="G844" s="7">
        <v>226584.0</v>
      </c>
      <c r="H844" s="12" t="str">
        <f t="array" ref="H844">XLOOKUP(C:C,Sheet3!A:A,Sheet3!B:B)</f>
        <v>#N/A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1" t="s">
        <v>7</v>
      </c>
      <c r="B845" s="11" t="s">
        <v>13</v>
      </c>
      <c r="C845" s="9" t="s">
        <v>678</v>
      </c>
      <c r="D845" s="9" t="s">
        <v>16</v>
      </c>
      <c r="E845" s="10" t="s">
        <v>14</v>
      </c>
      <c r="F845" s="6">
        <v>0.0</v>
      </c>
      <c r="G845" s="7">
        <v>0.0</v>
      </c>
      <c r="H845" s="12">
        <v>0.0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1" t="s">
        <v>12</v>
      </c>
      <c r="B846" s="11" t="s">
        <v>13</v>
      </c>
      <c r="C846" s="9" t="s">
        <v>678</v>
      </c>
      <c r="D846" s="9" t="s">
        <v>16</v>
      </c>
      <c r="E846" s="9" t="s">
        <v>17</v>
      </c>
      <c r="F846" s="6">
        <v>4000.0</v>
      </c>
      <c r="G846" s="7">
        <v>0.0</v>
      </c>
      <c r="H846" s="12">
        <v>0.0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1" t="s">
        <v>12</v>
      </c>
      <c r="B847" s="11" t="s">
        <v>13</v>
      </c>
      <c r="C847" s="9" t="s">
        <v>679</v>
      </c>
      <c r="D847" s="9" t="s">
        <v>16</v>
      </c>
      <c r="E847" s="10" t="s">
        <v>14</v>
      </c>
      <c r="F847" s="6">
        <v>0.0</v>
      </c>
      <c r="G847" s="7">
        <v>0.0</v>
      </c>
      <c r="H847" s="12">
        <v>0.0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1" t="s">
        <v>12</v>
      </c>
      <c r="B848" s="11" t="s">
        <v>13</v>
      </c>
      <c r="C848" s="9" t="s">
        <v>680</v>
      </c>
      <c r="D848" s="9" t="s">
        <v>419</v>
      </c>
      <c r="E848" s="9" t="s">
        <v>11</v>
      </c>
      <c r="F848" s="6">
        <v>300000.0</v>
      </c>
      <c r="G848" s="7">
        <v>0.0</v>
      </c>
      <c r="H848" s="12" t="str">
        <f t="array" ref="H848">XLOOKUP(C:C,Sheet3!A:A,Sheet3!B:B)</f>
        <v>#N/A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1" t="s">
        <v>12</v>
      </c>
      <c r="B849" s="11" t="s">
        <v>13</v>
      </c>
      <c r="C849" s="9" t="s">
        <v>681</v>
      </c>
      <c r="D849" s="9" t="s">
        <v>16</v>
      </c>
      <c r="E849" s="9" t="s">
        <v>55</v>
      </c>
      <c r="F849" s="6">
        <v>1215000.0</v>
      </c>
      <c r="G849" s="7">
        <v>-17585.0</v>
      </c>
      <c r="H849" s="12" t="str">
        <f t="array" ref="H849">XLOOKUP(C:C,Sheet3!A:A,Sheet3!B:B)</f>
        <v>#N/A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1" t="s">
        <v>12</v>
      </c>
      <c r="B850" s="11" t="s">
        <v>13</v>
      </c>
      <c r="C850" s="9" t="s">
        <v>682</v>
      </c>
      <c r="D850" s="9" t="s">
        <v>16</v>
      </c>
      <c r="E850" s="9" t="s">
        <v>55</v>
      </c>
      <c r="F850" s="6">
        <v>0.0</v>
      </c>
      <c r="G850" s="7">
        <v>0.0</v>
      </c>
      <c r="H850" s="12">
        <v>0.0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1" t="s">
        <v>7</v>
      </c>
      <c r="B851" s="11" t="s">
        <v>8</v>
      </c>
      <c r="C851" s="9" t="s">
        <v>683</v>
      </c>
      <c r="D851" s="9" t="s">
        <v>10</v>
      </c>
      <c r="E851" s="10" t="s">
        <v>14</v>
      </c>
      <c r="F851" s="6">
        <v>0.0</v>
      </c>
      <c r="G851" s="7">
        <v>0.0</v>
      </c>
      <c r="H851" s="12" t="str">
        <f t="array" ref="H851">XLOOKUP(C:C,Sheet3!A:A,Sheet3!B:B)</f>
        <v>#N/A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1" t="s">
        <v>12</v>
      </c>
      <c r="B852" s="11" t="s">
        <v>8</v>
      </c>
      <c r="C852" s="9" t="s">
        <v>683</v>
      </c>
      <c r="D852" s="9" t="s">
        <v>10</v>
      </c>
      <c r="E852" s="9" t="s">
        <v>49</v>
      </c>
      <c r="F852" s="6">
        <v>200000.0</v>
      </c>
      <c r="G852" s="7">
        <v>0.0</v>
      </c>
      <c r="H852" s="12" t="str">
        <f t="array" ref="H852">XLOOKUP(C:C,Sheet3!A:A,Sheet3!B:B)</f>
        <v>#N/A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1" t="s">
        <v>12</v>
      </c>
      <c r="B853" s="11" t="s">
        <v>8</v>
      </c>
      <c r="C853" s="9" t="s">
        <v>684</v>
      </c>
      <c r="D853" s="9" t="s">
        <v>10</v>
      </c>
      <c r="E853" s="9" t="s">
        <v>49</v>
      </c>
      <c r="F853" s="6">
        <v>25000.0</v>
      </c>
      <c r="G853" s="7">
        <v>22420.0</v>
      </c>
      <c r="H853" s="12" t="str">
        <f t="array" ref="H853">XLOOKUP(C:C,Sheet3!A:A,Sheet3!B:B)</f>
        <v>#N/A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1" t="s">
        <v>12</v>
      </c>
      <c r="B854" s="11" t="s">
        <v>13</v>
      </c>
      <c r="C854" s="9" t="s">
        <v>684</v>
      </c>
      <c r="D854" s="9" t="s">
        <v>10</v>
      </c>
      <c r="E854" s="10" t="s">
        <v>14</v>
      </c>
      <c r="F854" s="6">
        <v>32000.0</v>
      </c>
      <c r="G854" s="7">
        <v>0.0</v>
      </c>
      <c r="H854" s="12" t="str">
        <f t="array" ref="H854">XLOOKUP(C:C,Sheet3!A:A,Sheet3!B:B)</f>
        <v>#N/A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1" t="s">
        <v>12</v>
      </c>
      <c r="B855" s="11" t="s">
        <v>13</v>
      </c>
      <c r="C855" s="9" t="s">
        <v>685</v>
      </c>
      <c r="D855" s="9" t="s">
        <v>16</v>
      </c>
      <c r="E855" s="10" t="s">
        <v>14</v>
      </c>
      <c r="F855" s="6">
        <v>3075670.0</v>
      </c>
      <c r="G855" s="7">
        <v>0.0</v>
      </c>
      <c r="H855" s="12" t="str">
        <f t="array" ref="H855">XLOOKUP(C:C,Sheet3!A:A,Sheet3!B:B)</f>
        <v>#N/A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1" t="s">
        <v>12</v>
      </c>
      <c r="B856" s="11" t="s">
        <v>8</v>
      </c>
      <c r="C856" s="9" t="s">
        <v>686</v>
      </c>
      <c r="D856" s="9" t="s">
        <v>16</v>
      </c>
      <c r="E856" s="10" t="s">
        <v>14</v>
      </c>
      <c r="F856" s="6">
        <v>1.0</v>
      </c>
      <c r="G856" s="7">
        <v>0.0</v>
      </c>
      <c r="H856" s="12">
        <v>0.0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1" t="s">
        <v>12</v>
      </c>
      <c r="B857" s="11" t="s">
        <v>13</v>
      </c>
      <c r="C857" s="9" t="s">
        <v>687</v>
      </c>
      <c r="D857" s="9" t="s">
        <v>16</v>
      </c>
      <c r="E857" s="10" t="s">
        <v>14</v>
      </c>
      <c r="F857" s="6">
        <v>0.0</v>
      </c>
      <c r="G857" s="7">
        <v>0.0</v>
      </c>
      <c r="H857" s="12">
        <v>0.0</v>
      </c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1" t="s">
        <v>7</v>
      </c>
      <c r="B858" s="11" t="s">
        <v>13</v>
      </c>
      <c r="C858" s="9" t="s">
        <v>688</v>
      </c>
      <c r="D858" s="9" t="s">
        <v>16</v>
      </c>
      <c r="E858" s="9" t="s">
        <v>17</v>
      </c>
      <c r="F858" s="6">
        <v>0.0</v>
      </c>
      <c r="G858" s="7">
        <v>0.0</v>
      </c>
      <c r="H858" s="12" t="str">
        <f t="array" ref="H858">XLOOKUP(C:C,Sheet3!A:A,Sheet3!B:B)</f>
        <v>#N/A</v>
      </c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1" t="s">
        <v>12</v>
      </c>
      <c r="B859" s="11" t="s">
        <v>13</v>
      </c>
      <c r="C859" s="9" t="s">
        <v>688</v>
      </c>
      <c r="D859" s="9" t="s">
        <v>16</v>
      </c>
      <c r="E859" s="9" t="s">
        <v>17</v>
      </c>
      <c r="F859" s="6">
        <v>100000.0</v>
      </c>
      <c r="G859" s="7">
        <v>31199.0</v>
      </c>
      <c r="H859" s="12" t="str">
        <f t="array" ref="H859">XLOOKUP(C:C,Sheet3!A:A,Sheet3!B:B)</f>
        <v>#N/A</v>
      </c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1" t="s">
        <v>7</v>
      </c>
      <c r="B860" s="11" t="s">
        <v>13</v>
      </c>
      <c r="C860" s="9" t="s">
        <v>689</v>
      </c>
      <c r="D860" s="9" t="s">
        <v>16</v>
      </c>
      <c r="E860" s="9" t="s">
        <v>320</v>
      </c>
      <c r="F860" s="6">
        <v>79000.0</v>
      </c>
      <c r="G860" s="7">
        <v>0.0</v>
      </c>
      <c r="H860" s="12" t="str">
        <f t="array" ref="H860">XLOOKUP(C:C,Sheet3!A:A,Sheet3!B:B)</f>
        <v>#N/A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1" t="s">
        <v>12</v>
      </c>
      <c r="B861" s="11" t="s">
        <v>13</v>
      </c>
      <c r="C861" s="9" t="s">
        <v>689</v>
      </c>
      <c r="D861" s="9" t="s">
        <v>16</v>
      </c>
      <c r="E861" s="10" t="s">
        <v>14</v>
      </c>
      <c r="F861" s="6">
        <v>79000.0</v>
      </c>
      <c r="G861" s="7">
        <v>-637.0</v>
      </c>
      <c r="H861" s="12" t="str">
        <f t="array" ref="H861">XLOOKUP(C:C,Sheet3!A:A,Sheet3!B:B)</f>
        <v>#N/A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1" t="s">
        <v>12</v>
      </c>
      <c r="B862" s="11" t="s">
        <v>13</v>
      </c>
      <c r="C862" s="9" t="s">
        <v>690</v>
      </c>
      <c r="D862" s="9" t="s">
        <v>16</v>
      </c>
      <c r="E862" s="10" t="s">
        <v>14</v>
      </c>
      <c r="F862" s="6">
        <v>0.0</v>
      </c>
      <c r="G862" s="7">
        <v>0.0</v>
      </c>
      <c r="H862" s="12">
        <v>0.0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1" t="s">
        <v>12</v>
      </c>
      <c r="B863" s="11" t="s">
        <v>13</v>
      </c>
      <c r="C863" s="9" t="s">
        <v>691</v>
      </c>
      <c r="D863" s="9" t="s">
        <v>16</v>
      </c>
      <c r="E863" s="10" t="s">
        <v>14</v>
      </c>
      <c r="F863" s="6">
        <v>0.0</v>
      </c>
      <c r="G863" s="7">
        <v>0.0</v>
      </c>
      <c r="H863" s="12">
        <v>0.0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1" t="s">
        <v>12</v>
      </c>
      <c r="B864" s="11" t="s">
        <v>13</v>
      </c>
      <c r="C864" s="9" t="s">
        <v>692</v>
      </c>
      <c r="D864" s="9" t="s">
        <v>16</v>
      </c>
      <c r="E864" s="10" t="s">
        <v>14</v>
      </c>
      <c r="F864" s="6">
        <v>0.0</v>
      </c>
      <c r="G864" s="7">
        <v>0.0</v>
      </c>
      <c r="H864" s="12">
        <v>0.0</v>
      </c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1" t="s">
        <v>12</v>
      </c>
      <c r="B865" s="11" t="s">
        <v>8</v>
      </c>
      <c r="C865" s="9" t="s">
        <v>693</v>
      </c>
      <c r="D865" s="9" t="s">
        <v>16</v>
      </c>
      <c r="E865" s="9" t="s">
        <v>49</v>
      </c>
      <c r="F865" s="6">
        <v>150000.0</v>
      </c>
      <c r="G865" s="7">
        <v>55460.0</v>
      </c>
      <c r="H865" s="12" t="str">
        <f t="array" ref="H865">XLOOKUP(C:C,Sheet3!A:A,Sheet3!B:B)</f>
        <v>#N/A</v>
      </c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1" t="s">
        <v>7</v>
      </c>
      <c r="B866" s="11" t="s">
        <v>13</v>
      </c>
      <c r="C866" s="9" t="s">
        <v>694</v>
      </c>
      <c r="D866" s="9" t="s">
        <v>16</v>
      </c>
      <c r="E866" s="9" t="s">
        <v>144</v>
      </c>
      <c r="F866" s="6">
        <v>1604000.0</v>
      </c>
      <c r="G866" s="7">
        <v>0.0</v>
      </c>
      <c r="H866" s="12" t="str">
        <f t="array" ref="H866">XLOOKUP(C:C,Sheet3!A:A,Sheet3!B:B)</f>
        <v>#N/A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1" t="s">
        <v>12</v>
      </c>
      <c r="B867" s="11" t="s">
        <v>13</v>
      </c>
      <c r="C867" s="9" t="s">
        <v>694</v>
      </c>
      <c r="D867" s="9" t="s">
        <v>16</v>
      </c>
      <c r="E867" s="9" t="s">
        <v>49</v>
      </c>
      <c r="F867" s="6">
        <v>1400000.0</v>
      </c>
      <c r="G867" s="7">
        <v>2263355.0</v>
      </c>
      <c r="H867" s="12" t="str">
        <f t="array" ref="H867">XLOOKUP(C:C,Sheet3!A:A,Sheet3!B:B)</f>
        <v>#N/A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1" t="s">
        <v>7</v>
      </c>
      <c r="B868" s="11" t="s">
        <v>13</v>
      </c>
      <c r="C868" s="9" t="s">
        <v>695</v>
      </c>
      <c r="D868" s="9" t="s">
        <v>32</v>
      </c>
      <c r="E868" s="9" t="s">
        <v>17</v>
      </c>
      <c r="F868" s="6">
        <v>400000.0</v>
      </c>
      <c r="G868" s="7">
        <v>0.0</v>
      </c>
      <c r="H868" s="12" t="str">
        <f t="array" ref="H868">XLOOKUP(C:C,Sheet3!A:A,Sheet3!B:B)</f>
        <v>#N/A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1" t="s">
        <v>12</v>
      </c>
      <c r="B869" s="11" t="s">
        <v>13</v>
      </c>
      <c r="C869" s="9" t="s">
        <v>695</v>
      </c>
      <c r="D869" s="9" t="s">
        <v>32</v>
      </c>
      <c r="E869" s="9" t="s">
        <v>17</v>
      </c>
      <c r="F869" s="6">
        <v>510000.0</v>
      </c>
      <c r="G869" s="7">
        <v>358809.0</v>
      </c>
      <c r="H869" s="12" t="str">
        <f t="array" ref="H869">XLOOKUP(C:C,Sheet3!A:A,Sheet3!B:B)</f>
        <v>#N/A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1" t="s">
        <v>12</v>
      </c>
      <c r="B870" s="11" t="s">
        <v>13</v>
      </c>
      <c r="C870" s="9" t="s">
        <v>696</v>
      </c>
      <c r="D870" s="9" t="s">
        <v>16</v>
      </c>
      <c r="E870" s="10" t="s">
        <v>14</v>
      </c>
      <c r="F870" s="6">
        <v>0.0</v>
      </c>
      <c r="G870" s="7">
        <v>-100000.0</v>
      </c>
      <c r="H870" s="12">
        <v>0.0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1" t="s">
        <v>7</v>
      </c>
      <c r="B871" s="11" t="s">
        <v>13</v>
      </c>
      <c r="C871" s="9" t="s">
        <v>697</v>
      </c>
      <c r="D871" s="9" t="s">
        <v>32</v>
      </c>
      <c r="E871" s="10" t="s">
        <v>14</v>
      </c>
      <c r="F871" s="6">
        <v>0.0</v>
      </c>
      <c r="G871" s="7">
        <v>0.0</v>
      </c>
      <c r="H871" s="12" t="str">
        <f t="array" ref="H871">XLOOKUP(C:C,Sheet3!A:A,Sheet3!B:B)</f>
        <v>#N/A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1" t="s">
        <v>12</v>
      </c>
      <c r="B872" s="11" t="s">
        <v>13</v>
      </c>
      <c r="C872" s="9" t="s">
        <v>697</v>
      </c>
      <c r="D872" s="9" t="s">
        <v>32</v>
      </c>
      <c r="E872" s="9" t="s">
        <v>49</v>
      </c>
      <c r="F872" s="6">
        <v>1500000.0</v>
      </c>
      <c r="G872" s="7">
        <v>153014.0</v>
      </c>
      <c r="H872" s="12" t="str">
        <f t="array" ref="H872">XLOOKUP(C:C,Sheet3!A:A,Sheet3!B:B)</f>
        <v>#N/A</v>
      </c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1" t="s">
        <v>12</v>
      </c>
      <c r="B873" s="11" t="s">
        <v>13</v>
      </c>
      <c r="C873" s="9" t="s">
        <v>698</v>
      </c>
      <c r="D873" s="9" t="s">
        <v>16</v>
      </c>
      <c r="E873" s="10" t="s">
        <v>14</v>
      </c>
      <c r="F873" s="6">
        <v>0.0</v>
      </c>
      <c r="G873" s="7">
        <v>0.0</v>
      </c>
      <c r="H873" s="12">
        <v>0.0</v>
      </c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1" t="s">
        <v>7</v>
      </c>
      <c r="B874" s="11" t="s">
        <v>13</v>
      </c>
      <c r="C874" s="9" t="s">
        <v>699</v>
      </c>
      <c r="D874" s="9" t="s">
        <v>32</v>
      </c>
      <c r="E874" s="9" t="s">
        <v>144</v>
      </c>
      <c r="F874" s="6">
        <v>0.0</v>
      </c>
      <c r="G874" s="7">
        <v>0.0</v>
      </c>
      <c r="H874" s="12" t="str">
        <f t="array" ref="H874">XLOOKUP(C:C,Sheet3!A:A,Sheet3!B:B)</f>
        <v>#N/A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1" t="s">
        <v>7</v>
      </c>
      <c r="B875" s="11" t="s">
        <v>13</v>
      </c>
      <c r="C875" s="9" t="s">
        <v>700</v>
      </c>
      <c r="D875" s="9" t="s">
        <v>32</v>
      </c>
      <c r="E875" s="10" t="s">
        <v>14</v>
      </c>
      <c r="F875" s="6">
        <v>0.0</v>
      </c>
      <c r="G875" s="7">
        <v>0.0</v>
      </c>
      <c r="H875" s="12" t="str">
        <f t="array" ref="H875">XLOOKUP(C:C,Sheet3!A:A,Sheet3!B:B)</f>
        <v>#N/A</v>
      </c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1" t="s">
        <v>12</v>
      </c>
      <c r="B876" s="11" t="s">
        <v>13</v>
      </c>
      <c r="C876" s="9" t="s">
        <v>700</v>
      </c>
      <c r="D876" s="9" t="s">
        <v>32</v>
      </c>
      <c r="E876" s="9" t="s">
        <v>49</v>
      </c>
      <c r="F876" s="6">
        <v>1000000.0</v>
      </c>
      <c r="G876" s="7">
        <v>0.0</v>
      </c>
      <c r="H876" s="12" t="str">
        <f t="array" ref="H876">XLOOKUP(C:C,Sheet3!A:A,Sheet3!B:B)</f>
        <v>#N/A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1" t="s">
        <v>12</v>
      </c>
      <c r="B877" s="11" t="s">
        <v>13</v>
      </c>
      <c r="C877" s="9" t="s">
        <v>701</v>
      </c>
      <c r="D877" s="9" t="s">
        <v>16</v>
      </c>
      <c r="E877" s="10" t="s">
        <v>14</v>
      </c>
      <c r="F877" s="6">
        <v>0.0</v>
      </c>
      <c r="G877" s="7">
        <v>0.0</v>
      </c>
      <c r="H877" s="12">
        <v>0.0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1" t="s">
        <v>7</v>
      </c>
      <c r="B878" s="11" t="s">
        <v>13</v>
      </c>
      <c r="C878" s="9" t="s">
        <v>702</v>
      </c>
      <c r="D878" s="9" t="s">
        <v>19</v>
      </c>
      <c r="E878" s="9" t="s">
        <v>23</v>
      </c>
      <c r="F878" s="6">
        <v>2400000.0</v>
      </c>
      <c r="G878" s="7">
        <v>0.0</v>
      </c>
      <c r="H878" s="12" t="str">
        <f t="array" ref="H878">XLOOKUP(C:C,Sheet3!A:A,Sheet3!B:B)</f>
        <v>#N/A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1" t="s">
        <v>12</v>
      </c>
      <c r="B879" s="11" t="s">
        <v>13</v>
      </c>
      <c r="C879" s="9" t="s">
        <v>702</v>
      </c>
      <c r="D879" s="9" t="s">
        <v>19</v>
      </c>
      <c r="E879" s="9" t="s">
        <v>17</v>
      </c>
      <c r="F879" s="6">
        <v>2400000.0</v>
      </c>
      <c r="G879" s="7">
        <v>425164.0</v>
      </c>
      <c r="H879" s="12" t="str">
        <f t="array" ref="H879">XLOOKUP(C:C,Sheet3!A:A,Sheet3!B:B)</f>
        <v>#N/A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1" t="s">
        <v>12</v>
      </c>
      <c r="B880" s="11" t="s">
        <v>13</v>
      </c>
      <c r="C880" s="9" t="s">
        <v>703</v>
      </c>
      <c r="D880" s="9" t="s">
        <v>19</v>
      </c>
      <c r="E880" s="10" t="s">
        <v>14</v>
      </c>
      <c r="F880" s="6">
        <v>0.0</v>
      </c>
      <c r="G880" s="7">
        <v>0.0</v>
      </c>
      <c r="H880" s="12" t="str">
        <f t="array" ref="H880">XLOOKUP(C:C,Sheet3!A:A,Sheet3!B:B)</f>
        <v>#N/A</v>
      </c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1" t="s">
        <v>12</v>
      </c>
      <c r="B881" s="11" t="s">
        <v>13</v>
      </c>
      <c r="C881" s="9" t="s">
        <v>704</v>
      </c>
      <c r="D881" s="9" t="s">
        <v>16</v>
      </c>
      <c r="E881" s="9" t="s">
        <v>49</v>
      </c>
      <c r="F881" s="6">
        <v>414000.0</v>
      </c>
      <c r="G881" s="7">
        <v>0.0</v>
      </c>
      <c r="H881" s="12">
        <v>0.0</v>
      </c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1" t="s">
        <v>12</v>
      </c>
      <c r="B882" s="11" t="s">
        <v>13</v>
      </c>
      <c r="C882" s="9" t="s">
        <v>705</v>
      </c>
      <c r="D882" s="9" t="s">
        <v>16</v>
      </c>
      <c r="E882" s="10" t="s">
        <v>14</v>
      </c>
      <c r="F882" s="6">
        <v>0.0</v>
      </c>
      <c r="G882" s="7">
        <v>0.0</v>
      </c>
      <c r="H882" s="12">
        <v>0.0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1" t="s">
        <v>12</v>
      </c>
      <c r="B883" s="11" t="s">
        <v>8</v>
      </c>
      <c r="C883" s="9" t="s">
        <v>706</v>
      </c>
      <c r="D883" s="9" t="s">
        <v>10</v>
      </c>
      <c r="E883" s="9" t="s">
        <v>49</v>
      </c>
      <c r="F883" s="6">
        <v>75000.0</v>
      </c>
      <c r="G883" s="7">
        <v>70800.0</v>
      </c>
      <c r="H883" s="12" t="str">
        <f t="array" ref="H883">XLOOKUP(C:C,Sheet3!A:A,Sheet3!B:B)</f>
        <v>#N/A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1" t="s">
        <v>12</v>
      </c>
      <c r="B884" s="11" t="s">
        <v>13</v>
      </c>
      <c r="C884" s="9" t="s">
        <v>707</v>
      </c>
      <c r="D884" s="9" t="s">
        <v>16</v>
      </c>
      <c r="E884" s="10" t="s">
        <v>14</v>
      </c>
      <c r="F884" s="6">
        <v>0.0</v>
      </c>
      <c r="G884" s="7">
        <v>0.0</v>
      </c>
      <c r="H884" s="12">
        <v>0.0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1" t="s">
        <v>12</v>
      </c>
      <c r="B885" s="11" t="s">
        <v>8</v>
      </c>
      <c r="C885" s="9" t="s">
        <v>708</v>
      </c>
      <c r="D885" s="9" t="s">
        <v>16</v>
      </c>
      <c r="E885" s="9" t="s">
        <v>55</v>
      </c>
      <c r="F885" s="6">
        <v>116000.0</v>
      </c>
      <c r="G885" s="7">
        <v>123900.0</v>
      </c>
      <c r="H885" s="12" t="str">
        <f t="array" ref="H885">XLOOKUP(C:C,Sheet3!A:A,Sheet3!B:B)</f>
        <v>#N/A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1" t="s">
        <v>12</v>
      </c>
      <c r="B886" s="11" t="s">
        <v>13</v>
      </c>
      <c r="C886" s="9" t="s">
        <v>708</v>
      </c>
      <c r="D886" s="9" t="s">
        <v>16</v>
      </c>
      <c r="E886" s="10" t="s">
        <v>14</v>
      </c>
      <c r="F886" s="6">
        <v>261000.0</v>
      </c>
      <c r="G886" s="7">
        <v>0.0</v>
      </c>
      <c r="H886" s="12" t="str">
        <f t="array" ref="H886">XLOOKUP(C:C,Sheet3!A:A,Sheet3!B:B)</f>
        <v>#N/A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1" t="s">
        <v>7</v>
      </c>
      <c r="B887" s="11" t="s">
        <v>13</v>
      </c>
      <c r="C887" s="9" t="s">
        <v>709</v>
      </c>
      <c r="D887" s="9" t="s">
        <v>16</v>
      </c>
      <c r="E887" s="9" t="s">
        <v>49</v>
      </c>
      <c r="F887" s="6">
        <v>0.0</v>
      </c>
      <c r="G887" s="7">
        <v>0.0</v>
      </c>
      <c r="H887" s="12" t="str">
        <f t="array" ref="H887">XLOOKUP(C:C,Sheet3!A:A,Sheet3!B:B)</f>
        <v>#N/A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1" t="s">
        <v>12</v>
      </c>
      <c r="B888" s="11" t="s">
        <v>13</v>
      </c>
      <c r="C888" s="9" t="s">
        <v>709</v>
      </c>
      <c r="D888" s="9" t="s">
        <v>16</v>
      </c>
      <c r="E888" s="9" t="s">
        <v>49</v>
      </c>
      <c r="F888" s="6">
        <v>250000.0</v>
      </c>
      <c r="G888" s="7">
        <v>138718.0</v>
      </c>
      <c r="H888" s="12" t="str">
        <f t="array" ref="H888">XLOOKUP(C:C,Sheet3!A:A,Sheet3!B:B)</f>
        <v>#N/A</v>
      </c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1" t="s">
        <v>12</v>
      </c>
      <c r="B889" s="11" t="s">
        <v>13</v>
      </c>
      <c r="C889" s="9" t="s">
        <v>710</v>
      </c>
      <c r="D889" s="9" t="s">
        <v>16</v>
      </c>
      <c r="E889" s="10" t="s">
        <v>14</v>
      </c>
      <c r="F889" s="6">
        <v>0.0</v>
      </c>
      <c r="G889" s="7">
        <v>0.0</v>
      </c>
      <c r="H889" s="12">
        <v>0.0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1" t="s">
        <v>12</v>
      </c>
      <c r="B890" s="11" t="s">
        <v>13</v>
      </c>
      <c r="C890" s="9" t="s">
        <v>711</v>
      </c>
      <c r="D890" s="9" t="s">
        <v>16</v>
      </c>
      <c r="E890" s="9" t="s">
        <v>11</v>
      </c>
      <c r="F890" s="6">
        <v>16000.0</v>
      </c>
      <c r="G890" s="7">
        <v>0.0</v>
      </c>
      <c r="H890" s="12">
        <v>0.0</v>
      </c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1" t="s">
        <v>12</v>
      </c>
      <c r="B891" s="11" t="s">
        <v>13</v>
      </c>
      <c r="C891" s="9" t="s">
        <v>712</v>
      </c>
      <c r="D891" s="9" t="s">
        <v>16</v>
      </c>
      <c r="E891" s="10" t="s">
        <v>14</v>
      </c>
      <c r="F891" s="6">
        <v>0.0</v>
      </c>
      <c r="G891" s="7">
        <v>0.0</v>
      </c>
      <c r="H891" s="12">
        <v>0.0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1" t="s">
        <v>7</v>
      </c>
      <c r="B892" s="11" t="s">
        <v>13</v>
      </c>
      <c r="C892" s="9" t="s">
        <v>713</v>
      </c>
      <c r="D892" s="9" t="s">
        <v>32</v>
      </c>
      <c r="E892" s="9" t="s">
        <v>23</v>
      </c>
      <c r="F892" s="6">
        <v>2800000.0</v>
      </c>
      <c r="G892" s="7">
        <v>0.0</v>
      </c>
      <c r="H892" s="12" t="str">
        <f t="array" ref="H892">XLOOKUP(C:C,Sheet3!A:A,Sheet3!B:B)</f>
        <v>#N/A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1" t="s">
        <v>12</v>
      </c>
      <c r="B893" s="11" t="s">
        <v>13</v>
      </c>
      <c r="C893" s="9" t="s">
        <v>713</v>
      </c>
      <c r="D893" s="9" t="s">
        <v>32</v>
      </c>
      <c r="E893" s="9" t="s">
        <v>17</v>
      </c>
      <c r="F893" s="6">
        <v>2800000.0</v>
      </c>
      <c r="G893" s="7">
        <v>1821000.0</v>
      </c>
      <c r="H893" s="12" t="str">
        <f t="array" ref="H893">XLOOKUP(C:C,Sheet3!A:A,Sheet3!B:B)</f>
        <v>#N/A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1" t="s">
        <v>7</v>
      </c>
      <c r="B894" s="11" t="s">
        <v>13</v>
      </c>
      <c r="C894" s="9" t="s">
        <v>714</v>
      </c>
      <c r="D894" s="9" t="s">
        <v>32</v>
      </c>
      <c r="E894" s="9" t="s">
        <v>49</v>
      </c>
      <c r="F894" s="6">
        <v>0.0</v>
      </c>
      <c r="G894" s="7">
        <v>0.0</v>
      </c>
      <c r="H894" s="12" t="str">
        <f t="array" ref="H894">XLOOKUP(C:C,Sheet3!A:A,Sheet3!B:B)</f>
        <v>#N/A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1" t="s">
        <v>12</v>
      </c>
      <c r="B895" s="11" t="s">
        <v>13</v>
      </c>
      <c r="C895" s="9" t="s">
        <v>714</v>
      </c>
      <c r="D895" s="9" t="s">
        <v>32</v>
      </c>
      <c r="E895" s="9" t="s">
        <v>49</v>
      </c>
      <c r="F895" s="6">
        <v>2500000.0</v>
      </c>
      <c r="G895" s="7">
        <v>0.0</v>
      </c>
      <c r="H895" s="12" t="str">
        <f t="array" ref="H895">XLOOKUP(C:C,Sheet3!A:A,Sheet3!B:B)</f>
        <v>#N/A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1" t="s">
        <v>12</v>
      </c>
      <c r="B896" s="11" t="s">
        <v>13</v>
      </c>
      <c r="C896" s="9" t="s">
        <v>715</v>
      </c>
      <c r="D896" s="9" t="s">
        <v>32</v>
      </c>
      <c r="E896" s="10" t="s">
        <v>14</v>
      </c>
      <c r="F896" s="6">
        <v>0.0</v>
      </c>
      <c r="G896" s="7">
        <v>0.0</v>
      </c>
      <c r="H896" s="12" t="str">
        <f t="array" ref="H896">XLOOKUP(C:C,Sheet3!A:A,Sheet3!B:B)</f>
        <v>#N/A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1" t="s">
        <v>7</v>
      </c>
      <c r="B897" s="11" t="s">
        <v>13</v>
      </c>
      <c r="C897" s="9" t="s">
        <v>716</v>
      </c>
      <c r="D897" s="9" t="s">
        <v>88</v>
      </c>
      <c r="E897" s="9" t="s">
        <v>23</v>
      </c>
      <c r="F897" s="6">
        <v>3160000.0</v>
      </c>
      <c r="G897" s="7">
        <v>0.0</v>
      </c>
      <c r="H897" s="12" t="str">
        <f t="array" ref="H897">XLOOKUP(C:C,Sheet3!A:A,Sheet3!B:B)</f>
        <v>#N/A</v>
      </c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1" t="s">
        <v>12</v>
      </c>
      <c r="B898" s="11" t="s">
        <v>13</v>
      </c>
      <c r="C898" s="9" t="s">
        <v>716</v>
      </c>
      <c r="D898" s="9" t="s">
        <v>88</v>
      </c>
      <c r="E898" s="9" t="s">
        <v>17</v>
      </c>
      <c r="F898" s="6">
        <v>3160000.0</v>
      </c>
      <c r="G898" s="7">
        <v>292155.0</v>
      </c>
      <c r="H898" s="12" t="str">
        <f t="array" ref="H898">XLOOKUP(C:C,Sheet3!A:A,Sheet3!B:B)</f>
        <v>#N/A</v>
      </c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1" t="s">
        <v>12</v>
      </c>
      <c r="B899" s="11" t="s">
        <v>13</v>
      </c>
      <c r="C899" s="9" t="s">
        <v>717</v>
      </c>
      <c r="D899" s="9" t="s">
        <v>16</v>
      </c>
      <c r="E899" s="10" t="s">
        <v>14</v>
      </c>
      <c r="F899" s="6">
        <v>0.0</v>
      </c>
      <c r="G899" s="7">
        <v>-5100.0</v>
      </c>
      <c r="H899" s="12">
        <v>0.0</v>
      </c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1" t="s">
        <v>12</v>
      </c>
      <c r="B900" s="11" t="s">
        <v>13</v>
      </c>
      <c r="C900" s="9" t="s">
        <v>718</v>
      </c>
      <c r="D900" s="9" t="s">
        <v>16</v>
      </c>
      <c r="E900" s="10" t="s">
        <v>14</v>
      </c>
      <c r="F900" s="6">
        <v>0.0</v>
      </c>
      <c r="G900" s="7">
        <v>0.0</v>
      </c>
      <c r="H900" s="12">
        <v>0.0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1" t="s">
        <v>7</v>
      </c>
      <c r="B901" s="11" t="s">
        <v>8</v>
      </c>
      <c r="C901" s="9" t="s">
        <v>719</v>
      </c>
      <c r="D901" s="9" t="s">
        <v>10</v>
      </c>
      <c r="E901" s="9" t="s">
        <v>49</v>
      </c>
      <c r="F901" s="6">
        <v>250000.0</v>
      </c>
      <c r="G901" s="7">
        <v>0.0</v>
      </c>
      <c r="H901" s="12" t="str">
        <f t="array" ref="H901">XLOOKUP(C:C,Sheet3!A:A,Sheet3!B:B)</f>
        <v>#N/A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1" t="s">
        <v>7</v>
      </c>
      <c r="B902" s="11" t="s">
        <v>13</v>
      </c>
      <c r="C902" s="9" t="s">
        <v>719</v>
      </c>
      <c r="D902" s="9" t="s">
        <v>10</v>
      </c>
      <c r="E902" s="10" t="s">
        <v>14</v>
      </c>
      <c r="F902" s="6">
        <v>0.0</v>
      </c>
      <c r="G902" s="7">
        <v>0.0</v>
      </c>
      <c r="H902" s="12" t="str">
        <f t="array" ref="H902">XLOOKUP(C:C,Sheet3!A:A,Sheet3!B:B)</f>
        <v>#N/A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1" t="s">
        <v>12</v>
      </c>
      <c r="B903" s="11" t="s">
        <v>13</v>
      </c>
      <c r="C903" s="9" t="s">
        <v>719</v>
      </c>
      <c r="D903" s="9" t="s">
        <v>10</v>
      </c>
      <c r="E903" s="10" t="s">
        <v>14</v>
      </c>
      <c r="F903" s="6">
        <v>0.0</v>
      </c>
      <c r="G903" s="7">
        <v>0.0</v>
      </c>
      <c r="H903" s="12" t="str">
        <f t="array" ref="H903">XLOOKUP(C:C,Sheet3!A:A,Sheet3!B:B)</f>
        <v>#N/A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1" t="s">
        <v>12</v>
      </c>
      <c r="B904" s="11" t="s">
        <v>8</v>
      </c>
      <c r="C904" s="9" t="s">
        <v>719</v>
      </c>
      <c r="D904" s="9" t="s">
        <v>10</v>
      </c>
      <c r="E904" s="9" t="s">
        <v>49</v>
      </c>
      <c r="F904" s="6">
        <v>500000.0</v>
      </c>
      <c r="G904" s="7">
        <v>0.0</v>
      </c>
      <c r="H904" s="12" t="str">
        <f t="array" ref="H904">XLOOKUP(C:C,Sheet3!A:A,Sheet3!B:B)</f>
        <v>#N/A</v>
      </c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1" t="s">
        <v>12</v>
      </c>
      <c r="B905" s="11" t="s">
        <v>13</v>
      </c>
      <c r="C905" s="9" t="s">
        <v>720</v>
      </c>
      <c r="D905" s="9" t="s">
        <v>16</v>
      </c>
      <c r="E905" s="9" t="s">
        <v>49</v>
      </c>
      <c r="F905" s="6">
        <v>100.0</v>
      </c>
      <c r="G905" s="7">
        <v>86883.0</v>
      </c>
      <c r="H905" s="12" t="str">
        <f t="array" ref="H905">XLOOKUP(C:C,Sheet3!A:A,Sheet3!B:B)</f>
        <v>#N/A</v>
      </c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1" t="s">
        <v>12</v>
      </c>
      <c r="B906" s="11" t="s">
        <v>13</v>
      </c>
      <c r="C906" s="9" t="s">
        <v>721</v>
      </c>
      <c r="D906" s="9" t="s">
        <v>16</v>
      </c>
      <c r="E906" s="10" t="s">
        <v>14</v>
      </c>
      <c r="F906" s="6">
        <v>100000.0</v>
      </c>
      <c r="G906" s="7">
        <v>0.0</v>
      </c>
      <c r="H906" s="12">
        <v>0.0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1" t="s">
        <v>12</v>
      </c>
      <c r="B907" s="11" t="s">
        <v>13</v>
      </c>
      <c r="C907" s="9" t="s">
        <v>722</v>
      </c>
      <c r="D907" s="9" t="s">
        <v>16</v>
      </c>
      <c r="E907" s="10" t="s">
        <v>14</v>
      </c>
      <c r="F907" s="6">
        <v>0.0</v>
      </c>
      <c r="G907" s="7">
        <v>0.0</v>
      </c>
      <c r="H907" s="12">
        <v>0.0</v>
      </c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1" t="s">
        <v>12</v>
      </c>
      <c r="B908" s="11" t="s">
        <v>8</v>
      </c>
      <c r="C908" s="9" t="s">
        <v>723</v>
      </c>
      <c r="D908" s="9" t="s">
        <v>48</v>
      </c>
      <c r="E908" s="9" t="s">
        <v>49</v>
      </c>
      <c r="F908" s="6">
        <v>290647.0</v>
      </c>
      <c r="G908" s="7">
        <v>835440.0</v>
      </c>
      <c r="H908" s="12" t="str">
        <f t="array" ref="H908">XLOOKUP(C:C,Sheet3!A:A,Sheet3!B:B)</f>
        <v>#N/A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1" t="s">
        <v>12</v>
      </c>
      <c r="B909" s="11" t="s">
        <v>13</v>
      </c>
      <c r="C909" s="9" t="s">
        <v>724</v>
      </c>
      <c r="D909" s="9" t="s">
        <v>16</v>
      </c>
      <c r="E909" s="10" t="s">
        <v>14</v>
      </c>
      <c r="F909" s="6">
        <v>291000.0</v>
      </c>
      <c r="G909" s="7">
        <v>500000.0</v>
      </c>
      <c r="H909" s="12" t="str">
        <f t="array" ref="H909">XLOOKUP(C:C,Sheet3!A:A,Sheet3!B:B)</f>
        <v>#N/A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1" t="s">
        <v>7</v>
      </c>
      <c r="B910" s="11" t="s">
        <v>13</v>
      </c>
      <c r="C910" s="9" t="s">
        <v>725</v>
      </c>
      <c r="D910" s="9" t="s">
        <v>16</v>
      </c>
      <c r="E910" s="9" t="s">
        <v>144</v>
      </c>
      <c r="F910" s="6">
        <v>141000.0</v>
      </c>
      <c r="G910" s="7">
        <v>0.0</v>
      </c>
      <c r="H910" s="12" t="str">
        <f t="array" ref="H910">XLOOKUP(C:C,Sheet3!A:A,Sheet3!B:B)</f>
        <v>#N/A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1" t="s">
        <v>12</v>
      </c>
      <c r="B911" s="11" t="s">
        <v>13</v>
      </c>
      <c r="C911" s="9" t="s">
        <v>725</v>
      </c>
      <c r="D911" s="9" t="s">
        <v>16</v>
      </c>
      <c r="E911" s="9" t="s">
        <v>49</v>
      </c>
      <c r="F911" s="6">
        <v>141000.0</v>
      </c>
      <c r="G911" s="7">
        <v>225334.0</v>
      </c>
      <c r="H911" s="12" t="str">
        <f t="array" ref="H911">XLOOKUP(C:C,Sheet3!A:A,Sheet3!B:B)</f>
        <v>#N/A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1" t="s">
        <v>12</v>
      </c>
      <c r="B912" s="11" t="s">
        <v>13</v>
      </c>
      <c r="C912" s="9" t="s">
        <v>726</v>
      </c>
      <c r="D912" s="9" t="s">
        <v>16</v>
      </c>
      <c r="E912" s="10" t="s">
        <v>14</v>
      </c>
      <c r="F912" s="6">
        <v>0.0</v>
      </c>
      <c r="G912" s="7">
        <v>275000.0</v>
      </c>
      <c r="H912" s="12" t="str">
        <f t="array" ref="H912">XLOOKUP(C:C,Sheet3!A:A,Sheet3!B:B)</f>
        <v>#N/A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1" t="s">
        <v>12</v>
      </c>
      <c r="B913" s="11" t="s">
        <v>13</v>
      </c>
      <c r="C913" s="9" t="s">
        <v>727</v>
      </c>
      <c r="D913" s="9" t="s">
        <v>16</v>
      </c>
      <c r="E913" s="10" t="s">
        <v>14</v>
      </c>
      <c r="F913" s="6">
        <v>0.0</v>
      </c>
      <c r="G913" s="7">
        <v>0.0</v>
      </c>
      <c r="H913" s="12">
        <v>0.0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1" t="s">
        <v>12</v>
      </c>
      <c r="B914" s="11" t="s">
        <v>13</v>
      </c>
      <c r="C914" s="9" t="s">
        <v>728</v>
      </c>
      <c r="D914" s="9" t="s">
        <v>16</v>
      </c>
      <c r="E914" s="10" t="s">
        <v>14</v>
      </c>
      <c r="F914" s="6">
        <v>0.0</v>
      </c>
      <c r="G914" s="7">
        <v>0.0</v>
      </c>
      <c r="H914" s="12">
        <v>0.0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1" t="s">
        <v>12</v>
      </c>
      <c r="B915" s="11" t="s">
        <v>13</v>
      </c>
      <c r="C915" s="9" t="s">
        <v>729</v>
      </c>
      <c r="D915" s="9" t="s">
        <v>16</v>
      </c>
      <c r="E915" s="9" t="s">
        <v>730</v>
      </c>
      <c r="F915" s="6">
        <v>0.0</v>
      </c>
      <c r="G915" s="7">
        <v>0.0</v>
      </c>
      <c r="H915" s="12">
        <v>0.0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1" t="s">
        <v>12</v>
      </c>
      <c r="B916" s="11" t="s">
        <v>13</v>
      </c>
      <c r="C916" s="9" t="s">
        <v>731</v>
      </c>
      <c r="D916" s="9" t="s">
        <v>16</v>
      </c>
      <c r="E916" s="10" t="s">
        <v>14</v>
      </c>
      <c r="F916" s="6">
        <v>322000.0</v>
      </c>
      <c r="G916" s="7">
        <v>0.0</v>
      </c>
      <c r="H916" s="12">
        <v>0.0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1" t="s">
        <v>7</v>
      </c>
      <c r="B917" s="11" t="s">
        <v>13</v>
      </c>
      <c r="C917" s="9" t="s">
        <v>732</v>
      </c>
      <c r="D917" s="9" t="s">
        <v>88</v>
      </c>
      <c r="E917" s="9" t="s">
        <v>17</v>
      </c>
      <c r="F917" s="6">
        <v>700000.0</v>
      </c>
      <c r="G917" s="7">
        <v>0.0</v>
      </c>
      <c r="H917" s="12" t="str">
        <f t="array" ref="H917">XLOOKUP(C:C,Sheet3!A:A,Sheet3!B:B)</f>
        <v>#N/A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1" t="s">
        <v>12</v>
      </c>
      <c r="B918" s="11" t="s">
        <v>13</v>
      </c>
      <c r="C918" s="9" t="s">
        <v>732</v>
      </c>
      <c r="D918" s="9" t="s">
        <v>88</v>
      </c>
      <c r="E918" s="9" t="s">
        <v>17</v>
      </c>
      <c r="F918" s="6">
        <v>1530000.0</v>
      </c>
      <c r="G918" s="7">
        <v>0.0</v>
      </c>
      <c r="H918" s="12" t="str">
        <f t="array" ref="H918">XLOOKUP(C:C,Sheet3!A:A,Sheet3!B:B)</f>
        <v>#N/A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1" t="s">
        <v>7</v>
      </c>
      <c r="B919" s="11" t="s">
        <v>13</v>
      </c>
      <c r="C919" s="9" t="s">
        <v>733</v>
      </c>
      <c r="D919" s="9" t="s">
        <v>88</v>
      </c>
      <c r="E919" s="9" t="s">
        <v>23</v>
      </c>
      <c r="F919" s="6">
        <v>2500000.0</v>
      </c>
      <c r="G919" s="7">
        <v>0.0</v>
      </c>
      <c r="H919" s="12" t="str">
        <f t="array" ref="H919">XLOOKUP(C:C,Sheet3!A:A,Sheet3!B:B)</f>
        <v>#N/A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1" t="s">
        <v>12</v>
      </c>
      <c r="B920" s="11" t="s">
        <v>13</v>
      </c>
      <c r="C920" s="9" t="s">
        <v>733</v>
      </c>
      <c r="D920" s="9" t="s">
        <v>88</v>
      </c>
      <c r="E920" s="9" t="s">
        <v>17</v>
      </c>
      <c r="F920" s="6">
        <v>2500000.0</v>
      </c>
      <c r="G920" s="7">
        <v>0.0</v>
      </c>
      <c r="H920" s="12" t="str">
        <f t="array" ref="H920">XLOOKUP(C:C,Sheet3!A:A,Sheet3!B:B)</f>
        <v>#N/A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1" t="s">
        <v>12</v>
      </c>
      <c r="B921" s="11" t="s">
        <v>13</v>
      </c>
      <c r="C921" s="9" t="s">
        <v>734</v>
      </c>
      <c r="D921" s="9" t="s">
        <v>88</v>
      </c>
      <c r="E921" s="10" t="s">
        <v>14</v>
      </c>
      <c r="F921" s="6">
        <v>0.0</v>
      </c>
      <c r="G921" s="7">
        <v>0.0</v>
      </c>
      <c r="H921" s="12" t="str">
        <f t="array" ref="H921">XLOOKUP(C:C,Sheet3!A:A,Sheet3!B:B)</f>
        <v>#N/A</v>
      </c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1" t="s">
        <v>7</v>
      </c>
      <c r="B922" s="11" t="s">
        <v>13</v>
      </c>
      <c r="C922" s="9" t="s">
        <v>735</v>
      </c>
      <c r="D922" s="9" t="s">
        <v>88</v>
      </c>
      <c r="E922" s="9" t="s">
        <v>17</v>
      </c>
      <c r="F922" s="6">
        <v>1800000.0</v>
      </c>
      <c r="G922" s="7">
        <v>0.0</v>
      </c>
      <c r="H922" s="12" t="str">
        <f t="array" ref="H922">XLOOKUP(C:C,Sheet3!A:A,Sheet3!B:B)</f>
        <v>#N/A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1" t="s">
        <v>12</v>
      </c>
      <c r="B923" s="11" t="s">
        <v>13</v>
      </c>
      <c r="C923" s="9" t="s">
        <v>735</v>
      </c>
      <c r="D923" s="9" t="s">
        <v>88</v>
      </c>
      <c r="E923" s="9" t="s">
        <v>17</v>
      </c>
      <c r="F923" s="6">
        <v>3350000.0</v>
      </c>
      <c r="G923" s="7">
        <v>2087615.0</v>
      </c>
      <c r="H923" s="12" t="str">
        <f t="array" ref="H923">XLOOKUP(C:C,Sheet3!A:A,Sheet3!B:B)</f>
        <v>#N/A</v>
      </c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1" t="s">
        <v>12</v>
      </c>
      <c r="B924" s="11" t="s">
        <v>13</v>
      </c>
      <c r="C924" s="9" t="s">
        <v>736</v>
      </c>
      <c r="D924" s="9" t="s">
        <v>88</v>
      </c>
      <c r="E924" s="10" t="s">
        <v>14</v>
      </c>
      <c r="F924" s="6">
        <v>0.0</v>
      </c>
      <c r="G924" s="7">
        <v>0.0</v>
      </c>
      <c r="H924" s="12" t="str">
        <f t="array" ref="H924">XLOOKUP(C:C,Sheet3!A:A,Sheet3!B:B)</f>
        <v>#N/A</v>
      </c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1" t="s">
        <v>12</v>
      </c>
      <c r="B925" s="11" t="s">
        <v>13</v>
      </c>
      <c r="C925" s="9" t="s">
        <v>737</v>
      </c>
      <c r="D925" s="9" t="s">
        <v>16</v>
      </c>
      <c r="E925" s="10" t="s">
        <v>14</v>
      </c>
      <c r="F925" s="6">
        <v>1160000.0</v>
      </c>
      <c r="G925" s="7">
        <v>0.0</v>
      </c>
      <c r="H925" s="12">
        <v>0.0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1" t="s">
        <v>7</v>
      </c>
      <c r="B926" s="11" t="s">
        <v>13</v>
      </c>
      <c r="C926" s="9" t="s">
        <v>738</v>
      </c>
      <c r="D926" s="9" t="s">
        <v>19</v>
      </c>
      <c r="E926" s="9" t="s">
        <v>17</v>
      </c>
      <c r="F926" s="6">
        <v>600000.0</v>
      </c>
      <c r="G926" s="7">
        <v>0.0</v>
      </c>
      <c r="H926" s="12" t="str">
        <f t="array" ref="H926">XLOOKUP(C:C,Sheet3!A:A,Sheet3!B:B)</f>
        <v>#N/A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1" t="s">
        <v>12</v>
      </c>
      <c r="B927" s="11" t="s">
        <v>13</v>
      </c>
      <c r="C927" s="9" t="s">
        <v>738</v>
      </c>
      <c r="D927" s="9" t="s">
        <v>19</v>
      </c>
      <c r="E927" s="9" t="s">
        <v>17</v>
      </c>
      <c r="F927" s="6">
        <v>1200000.0</v>
      </c>
      <c r="G927" s="7">
        <v>0.0</v>
      </c>
      <c r="H927" s="12" t="str">
        <f t="array" ref="H927">XLOOKUP(C:C,Sheet3!A:A,Sheet3!B:B)</f>
        <v>#N/A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1" t="s">
        <v>12</v>
      </c>
      <c r="B928" s="11" t="s">
        <v>13</v>
      </c>
      <c r="C928" s="9" t="s">
        <v>739</v>
      </c>
      <c r="D928" s="9" t="s">
        <v>16</v>
      </c>
      <c r="E928" s="10" t="s">
        <v>14</v>
      </c>
      <c r="F928" s="6">
        <v>0.0</v>
      </c>
      <c r="G928" s="7">
        <v>0.0</v>
      </c>
      <c r="H928" s="12" t="str">
        <f t="array" ref="H928">XLOOKUP(C:C,Sheet3!A:A,Sheet3!B:B)</f>
        <v>#N/A</v>
      </c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1" t="s">
        <v>12</v>
      </c>
      <c r="B929" s="11" t="s">
        <v>13</v>
      </c>
      <c r="C929" s="9" t="s">
        <v>740</v>
      </c>
      <c r="D929" s="9" t="s">
        <v>16</v>
      </c>
      <c r="E929" s="9" t="s">
        <v>33</v>
      </c>
      <c r="F929" s="6">
        <v>0.0</v>
      </c>
      <c r="G929" s="7">
        <v>0.0</v>
      </c>
      <c r="H929" s="12">
        <v>0.0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1" t="s">
        <v>12</v>
      </c>
      <c r="B930" s="11" t="s">
        <v>13</v>
      </c>
      <c r="C930" s="9" t="s">
        <v>741</v>
      </c>
      <c r="D930" s="9" t="s">
        <v>16</v>
      </c>
      <c r="E930" s="10" t="s">
        <v>14</v>
      </c>
      <c r="F930" s="6">
        <v>0.0</v>
      </c>
      <c r="G930" s="7">
        <v>0.0</v>
      </c>
      <c r="H930" s="12">
        <v>0.0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1" t="s">
        <v>12</v>
      </c>
      <c r="B931" s="11" t="s">
        <v>13</v>
      </c>
      <c r="C931" s="9" t="s">
        <v>742</v>
      </c>
      <c r="D931" s="9" t="s">
        <v>16</v>
      </c>
      <c r="E931" s="10" t="s">
        <v>14</v>
      </c>
      <c r="F931" s="6">
        <v>0.0</v>
      </c>
      <c r="G931" s="7">
        <v>0.0</v>
      </c>
      <c r="H931" s="12">
        <v>0.0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1" t="s">
        <v>12</v>
      </c>
      <c r="B932" s="11" t="s">
        <v>13</v>
      </c>
      <c r="C932" s="9" t="s">
        <v>743</v>
      </c>
      <c r="D932" s="9" t="s">
        <v>16</v>
      </c>
      <c r="E932" s="10" t="s">
        <v>14</v>
      </c>
      <c r="F932" s="6">
        <v>0.0</v>
      </c>
      <c r="G932" s="7">
        <v>0.0</v>
      </c>
      <c r="H932" s="12">
        <v>0.0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1" t="s">
        <v>12</v>
      </c>
      <c r="B933" s="11" t="s">
        <v>13</v>
      </c>
      <c r="C933" s="9" t="s">
        <v>744</v>
      </c>
      <c r="D933" s="9" t="s">
        <v>745</v>
      </c>
      <c r="E933" s="10" t="s">
        <v>14</v>
      </c>
      <c r="F933" s="6">
        <v>0.0</v>
      </c>
      <c r="G933" s="7">
        <v>4297516.0</v>
      </c>
      <c r="H933" s="12" t="str">
        <f t="array" ref="H933">XLOOKUP(C:C,Sheet3!A:A,Sheet3!B:B)</f>
        <v>#N/A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1" t="s">
        <v>12</v>
      </c>
      <c r="B934" s="11" t="s">
        <v>13</v>
      </c>
      <c r="C934" s="9" t="s">
        <v>746</v>
      </c>
      <c r="D934" s="9" t="s">
        <v>745</v>
      </c>
      <c r="E934" s="10" t="s">
        <v>14</v>
      </c>
      <c r="F934" s="6">
        <v>0.0</v>
      </c>
      <c r="G934" s="7">
        <v>0.0</v>
      </c>
      <c r="H934" s="12" t="str">
        <f t="array" ref="H934">XLOOKUP(C:C,Sheet3!A:A,Sheet3!B:B)</f>
        <v>#N/A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1" t="s">
        <v>12</v>
      </c>
      <c r="B935" s="11" t="s">
        <v>13</v>
      </c>
      <c r="C935" s="9" t="s">
        <v>747</v>
      </c>
      <c r="D935" s="9" t="s">
        <v>16</v>
      </c>
      <c r="E935" s="10" t="s">
        <v>14</v>
      </c>
      <c r="F935" s="6">
        <v>0.0</v>
      </c>
      <c r="G935" s="7">
        <v>0.0</v>
      </c>
      <c r="H935" s="12">
        <v>0.0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1" t="s">
        <v>7</v>
      </c>
      <c r="B936" s="11" t="s">
        <v>13</v>
      </c>
      <c r="C936" s="9" t="s">
        <v>748</v>
      </c>
      <c r="D936" s="9" t="s">
        <v>745</v>
      </c>
      <c r="E936" s="10" t="s">
        <v>14</v>
      </c>
      <c r="F936" s="6">
        <v>0.0</v>
      </c>
      <c r="G936" s="7">
        <v>0.0</v>
      </c>
      <c r="H936" s="12" t="str">
        <f t="array" ref="H936">XLOOKUP(C:C,Sheet3!A:A,Sheet3!B:B)</f>
        <v>#N/A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1" t="s">
        <v>7</v>
      </c>
      <c r="B937" s="11" t="s">
        <v>13</v>
      </c>
      <c r="C937" s="9" t="s">
        <v>749</v>
      </c>
      <c r="D937" s="9" t="s">
        <v>745</v>
      </c>
      <c r="E937" s="10" t="s">
        <v>14</v>
      </c>
      <c r="F937" s="6">
        <v>0.0</v>
      </c>
      <c r="G937" s="7">
        <v>0.0</v>
      </c>
      <c r="H937" s="12" t="str">
        <f t="array" ref="H937">XLOOKUP(C:C,Sheet3!A:A,Sheet3!B:B)</f>
        <v>#N/A</v>
      </c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1" t="s">
        <v>12</v>
      </c>
      <c r="B938" s="11" t="s">
        <v>13</v>
      </c>
      <c r="C938" s="9" t="s">
        <v>750</v>
      </c>
      <c r="D938" s="9" t="s">
        <v>16</v>
      </c>
      <c r="E938" s="10" t="s">
        <v>14</v>
      </c>
      <c r="F938" s="6">
        <v>0.0</v>
      </c>
      <c r="G938" s="7">
        <v>0.0</v>
      </c>
      <c r="H938" s="12">
        <v>0.0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1" t="s">
        <v>12</v>
      </c>
      <c r="B939" s="11" t="s">
        <v>13</v>
      </c>
      <c r="C939" s="9" t="s">
        <v>751</v>
      </c>
      <c r="D939" s="9" t="s">
        <v>16</v>
      </c>
      <c r="E939" s="10" t="s">
        <v>14</v>
      </c>
      <c r="F939" s="6">
        <v>0.0</v>
      </c>
      <c r="G939" s="7">
        <v>0.0</v>
      </c>
      <c r="H939" s="12">
        <v>0.0</v>
      </c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1" t="s">
        <v>12</v>
      </c>
      <c r="B940" s="11" t="s">
        <v>13</v>
      </c>
      <c r="C940" s="9" t="s">
        <v>752</v>
      </c>
      <c r="D940" s="9" t="s">
        <v>16</v>
      </c>
      <c r="E940" s="10" t="s">
        <v>14</v>
      </c>
      <c r="F940" s="6">
        <v>0.0</v>
      </c>
      <c r="G940" s="7">
        <v>0.0</v>
      </c>
      <c r="H940" s="12">
        <v>0.0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1" t="s">
        <v>7</v>
      </c>
      <c r="B941" s="11" t="s">
        <v>13</v>
      </c>
      <c r="C941" s="9" t="s">
        <v>753</v>
      </c>
      <c r="D941" s="9" t="s">
        <v>16</v>
      </c>
      <c r="E941" s="10" t="s">
        <v>14</v>
      </c>
      <c r="F941" s="6">
        <v>0.0</v>
      </c>
      <c r="G941" s="7">
        <v>0.0</v>
      </c>
      <c r="H941" s="12">
        <v>0.0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1" t="s">
        <v>7</v>
      </c>
      <c r="B942" s="11" t="s">
        <v>13</v>
      </c>
      <c r="C942" s="9" t="s">
        <v>754</v>
      </c>
      <c r="D942" s="9" t="s">
        <v>16</v>
      </c>
      <c r="E942" s="10" t="s">
        <v>14</v>
      </c>
      <c r="F942" s="6">
        <v>0.0</v>
      </c>
      <c r="G942" s="7">
        <v>0.0</v>
      </c>
      <c r="H942" s="12">
        <v>0.0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1" t="s">
        <v>7</v>
      </c>
      <c r="B943" s="11" t="s">
        <v>8</v>
      </c>
      <c r="C943" s="9" t="s">
        <v>755</v>
      </c>
      <c r="D943" s="9" t="s">
        <v>745</v>
      </c>
      <c r="E943" s="10" t="s">
        <v>14</v>
      </c>
      <c r="F943" s="6">
        <v>0.0</v>
      </c>
      <c r="G943" s="7">
        <v>0.0</v>
      </c>
      <c r="H943" s="12" t="str">
        <f t="array" ref="H943">XLOOKUP(C:C,Sheet3!A:A,Sheet3!B:B)</f>
        <v>#N/A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1" t="s">
        <v>12</v>
      </c>
      <c r="B944" s="11" t="s">
        <v>13</v>
      </c>
      <c r="C944" s="9" t="s">
        <v>756</v>
      </c>
      <c r="D944" s="9" t="s">
        <v>16</v>
      </c>
      <c r="E944" s="10" t="s">
        <v>14</v>
      </c>
      <c r="F944" s="6">
        <v>0.0</v>
      </c>
      <c r="G944" s="7">
        <v>0.0</v>
      </c>
      <c r="H944" s="12">
        <v>0.0</v>
      </c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1" t="s">
        <v>12</v>
      </c>
      <c r="B945" s="11" t="s">
        <v>8</v>
      </c>
      <c r="C945" s="9" t="s">
        <v>756</v>
      </c>
      <c r="D945" s="9" t="s">
        <v>16</v>
      </c>
      <c r="E945" s="10" t="s">
        <v>14</v>
      </c>
      <c r="F945" s="6">
        <v>0.0</v>
      </c>
      <c r="G945" s="7">
        <v>0.0</v>
      </c>
      <c r="H945" s="12">
        <v>0.0</v>
      </c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1" t="s">
        <v>12</v>
      </c>
      <c r="B946" s="11" t="s">
        <v>13</v>
      </c>
      <c r="C946" s="9" t="s">
        <v>757</v>
      </c>
      <c r="D946" s="9" t="s">
        <v>16</v>
      </c>
      <c r="E946" s="9" t="s">
        <v>33</v>
      </c>
      <c r="F946" s="6">
        <v>0.0</v>
      </c>
      <c r="G946" s="7">
        <v>0.0</v>
      </c>
      <c r="H946" s="12">
        <v>0.0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1" t="s">
        <v>12</v>
      </c>
      <c r="B947" s="11" t="s">
        <v>13</v>
      </c>
      <c r="C947" s="9" t="s">
        <v>758</v>
      </c>
      <c r="D947" s="9" t="s">
        <v>16</v>
      </c>
      <c r="E947" s="10" t="s">
        <v>14</v>
      </c>
      <c r="F947" s="6">
        <v>0.0</v>
      </c>
      <c r="G947" s="7">
        <v>0.0</v>
      </c>
      <c r="H947" s="12">
        <v>0.0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1" t="s">
        <v>12</v>
      </c>
      <c r="B948" s="11" t="s">
        <v>8</v>
      </c>
      <c r="C948" s="9" t="s">
        <v>759</v>
      </c>
      <c r="D948" s="9" t="s">
        <v>16</v>
      </c>
      <c r="E948" s="10" t="s">
        <v>14</v>
      </c>
      <c r="F948" s="6">
        <v>0.0</v>
      </c>
      <c r="G948" s="7">
        <v>0.0</v>
      </c>
      <c r="H948" s="12">
        <v>0.0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1" t="s">
        <v>12</v>
      </c>
      <c r="B949" s="11" t="s">
        <v>13</v>
      </c>
      <c r="C949" s="9" t="s">
        <v>760</v>
      </c>
      <c r="D949" s="9" t="s">
        <v>16</v>
      </c>
      <c r="E949" s="10" t="s">
        <v>14</v>
      </c>
      <c r="F949" s="6">
        <v>0.0</v>
      </c>
      <c r="G949" s="7">
        <v>0.0</v>
      </c>
      <c r="H949" s="12">
        <v>0.0</v>
      </c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1" t="s">
        <v>12</v>
      </c>
      <c r="B950" s="11" t="s">
        <v>13</v>
      </c>
      <c r="C950" s="9" t="s">
        <v>761</v>
      </c>
      <c r="D950" s="9" t="s">
        <v>16</v>
      </c>
      <c r="E950" s="10" t="s">
        <v>14</v>
      </c>
      <c r="F950" s="6">
        <v>0.0</v>
      </c>
      <c r="G950" s="7">
        <v>0.0</v>
      </c>
      <c r="H950" s="12">
        <v>0.0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1" t="s">
        <v>7</v>
      </c>
      <c r="B951" s="11" t="s">
        <v>13</v>
      </c>
      <c r="C951" s="9" t="s">
        <v>762</v>
      </c>
      <c r="D951" s="9" t="s">
        <v>32</v>
      </c>
      <c r="E951" s="9" t="s">
        <v>763</v>
      </c>
      <c r="F951" s="6">
        <v>750000.0</v>
      </c>
      <c r="G951" s="7">
        <v>0.0</v>
      </c>
      <c r="H951" s="12" t="str">
        <f t="array" ref="H951">XLOOKUP(C:C,Sheet3!A:A,Sheet3!B:B)</f>
        <v>#N/A</v>
      </c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1" t="s">
        <v>12</v>
      </c>
      <c r="B952" s="11" t="s">
        <v>13</v>
      </c>
      <c r="C952" s="9" t="s">
        <v>762</v>
      </c>
      <c r="D952" s="9" t="s">
        <v>32</v>
      </c>
      <c r="E952" s="9" t="s">
        <v>80</v>
      </c>
      <c r="F952" s="6">
        <v>750000.0</v>
      </c>
      <c r="G952" s="7">
        <v>274858.0</v>
      </c>
      <c r="H952" s="12" t="str">
        <f t="array" ref="H952">XLOOKUP(C:C,Sheet3!A:A,Sheet3!B:B)</f>
        <v>#N/A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1" t="s">
        <v>12</v>
      </c>
      <c r="B953" s="11" t="s">
        <v>13</v>
      </c>
      <c r="C953" s="9" t="s">
        <v>764</v>
      </c>
      <c r="D953" s="9" t="s">
        <v>16</v>
      </c>
      <c r="E953" s="9" t="s">
        <v>80</v>
      </c>
      <c r="F953" s="6">
        <v>0.0</v>
      </c>
      <c r="G953" s="7">
        <v>0.0</v>
      </c>
      <c r="H953" s="12">
        <v>0.0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1" t="s">
        <v>12</v>
      </c>
      <c r="B954" s="11" t="s">
        <v>13</v>
      </c>
      <c r="C954" s="9" t="s">
        <v>765</v>
      </c>
      <c r="D954" s="9" t="s">
        <v>16</v>
      </c>
      <c r="E954" s="10" t="s">
        <v>14</v>
      </c>
      <c r="F954" s="6">
        <v>0.0</v>
      </c>
      <c r="G954" s="7">
        <v>0.0</v>
      </c>
      <c r="H954" s="12">
        <v>0.0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1" t="s">
        <v>7</v>
      </c>
      <c r="B955" s="11" t="s">
        <v>13</v>
      </c>
      <c r="C955" s="9" t="s">
        <v>766</v>
      </c>
      <c r="D955" s="9" t="s">
        <v>83</v>
      </c>
      <c r="E955" s="9" t="s">
        <v>173</v>
      </c>
      <c r="F955" s="6">
        <v>2330000.0</v>
      </c>
      <c r="G955" s="7">
        <v>0.0</v>
      </c>
      <c r="H955" s="12" t="str">
        <f t="array" ref="H955">XLOOKUP(C:C,Sheet3!A:A,Sheet3!B:B)</f>
        <v>#N/A</v>
      </c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1" t="s">
        <v>12</v>
      </c>
      <c r="B956" s="11" t="s">
        <v>13</v>
      </c>
      <c r="C956" s="9" t="s">
        <v>766</v>
      </c>
      <c r="D956" s="9" t="s">
        <v>83</v>
      </c>
      <c r="E956" s="9" t="s">
        <v>33</v>
      </c>
      <c r="F956" s="6">
        <v>2330000.0</v>
      </c>
      <c r="G956" s="7">
        <v>2305261.0</v>
      </c>
      <c r="H956" s="12" t="str">
        <f t="array" ref="H956">XLOOKUP(C:C,Sheet3!A:A,Sheet3!B:B)</f>
        <v>#N/A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1" t="s">
        <v>12</v>
      </c>
      <c r="B957" s="11" t="s">
        <v>13</v>
      </c>
      <c r="C957" s="9" t="s">
        <v>767</v>
      </c>
      <c r="D957" s="9" t="s">
        <v>83</v>
      </c>
      <c r="E957" s="10" t="s">
        <v>14</v>
      </c>
      <c r="F957" s="6">
        <v>0.0</v>
      </c>
      <c r="G957" s="7">
        <v>1527000.0</v>
      </c>
      <c r="H957" s="12" t="str">
        <f t="array" ref="H957">XLOOKUP(C:C,Sheet3!A:A,Sheet3!B:B)</f>
        <v>#N/A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1" t="s">
        <v>7</v>
      </c>
      <c r="B958" s="11" t="s">
        <v>13</v>
      </c>
      <c r="C958" s="9" t="s">
        <v>768</v>
      </c>
      <c r="D958" s="9" t="s">
        <v>32</v>
      </c>
      <c r="E958" s="9" t="s">
        <v>17</v>
      </c>
      <c r="F958" s="6">
        <v>0.0</v>
      </c>
      <c r="G958" s="7">
        <v>0.0</v>
      </c>
      <c r="H958" s="12" t="str">
        <f t="array" ref="H958">XLOOKUP(C:C,Sheet3!A:A,Sheet3!B:B)</f>
        <v>#N/A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1" t="s">
        <v>12</v>
      </c>
      <c r="B959" s="11" t="s">
        <v>13</v>
      </c>
      <c r="C959" s="9" t="s">
        <v>768</v>
      </c>
      <c r="D959" s="9" t="s">
        <v>32</v>
      </c>
      <c r="E959" s="9" t="s">
        <v>17</v>
      </c>
      <c r="F959" s="6">
        <v>4250000.0</v>
      </c>
      <c r="G959" s="7">
        <v>4445273.0</v>
      </c>
      <c r="H959" s="12" t="str">
        <f t="array" ref="H959">XLOOKUP(C:C,Sheet3!A:A,Sheet3!B:B)</f>
        <v>#N/A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1" t="s">
        <v>12</v>
      </c>
      <c r="B960" s="11" t="s">
        <v>13</v>
      </c>
      <c r="C960" s="9" t="s">
        <v>769</v>
      </c>
      <c r="D960" s="9" t="s">
        <v>16</v>
      </c>
      <c r="E960" s="10" t="s">
        <v>14</v>
      </c>
      <c r="F960" s="6">
        <v>0.0</v>
      </c>
      <c r="G960" s="7">
        <v>0.0</v>
      </c>
      <c r="H960" s="12">
        <v>0.0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1" t="s">
        <v>12</v>
      </c>
      <c r="B961" s="11" t="s">
        <v>13</v>
      </c>
      <c r="C961" s="9" t="s">
        <v>770</v>
      </c>
      <c r="D961" s="9" t="s">
        <v>16</v>
      </c>
      <c r="E961" s="10" t="s">
        <v>14</v>
      </c>
      <c r="F961" s="6">
        <v>0.0</v>
      </c>
      <c r="G961" s="7">
        <v>0.0</v>
      </c>
      <c r="H961" s="12">
        <v>0.0</v>
      </c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1" t="s">
        <v>12</v>
      </c>
      <c r="B962" s="11" t="s">
        <v>13</v>
      </c>
      <c r="C962" s="9" t="s">
        <v>771</v>
      </c>
      <c r="D962" s="9" t="s">
        <v>16</v>
      </c>
      <c r="E962" s="10" t="s">
        <v>14</v>
      </c>
      <c r="F962" s="6">
        <v>0.0</v>
      </c>
      <c r="G962" s="7">
        <v>0.0</v>
      </c>
      <c r="H962" s="12">
        <v>0.0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1" t="s">
        <v>12</v>
      </c>
      <c r="B963" s="11" t="s">
        <v>13</v>
      </c>
      <c r="C963" s="9" t="s">
        <v>772</v>
      </c>
      <c r="D963" s="9" t="s">
        <v>16</v>
      </c>
      <c r="E963" s="10" t="s">
        <v>14</v>
      </c>
      <c r="F963" s="6">
        <v>0.0</v>
      </c>
      <c r="G963" s="7">
        <v>0.0</v>
      </c>
      <c r="H963" s="12">
        <v>0.0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1" t="s">
        <v>12</v>
      </c>
      <c r="B964" s="11" t="s">
        <v>13</v>
      </c>
      <c r="C964" s="9" t="s">
        <v>773</v>
      </c>
      <c r="D964" s="9" t="s">
        <v>16</v>
      </c>
      <c r="E964" s="10" t="s">
        <v>14</v>
      </c>
      <c r="F964" s="6">
        <v>0.0</v>
      </c>
      <c r="G964" s="7">
        <v>0.0</v>
      </c>
      <c r="H964" s="12">
        <v>0.0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1" t="s">
        <v>7</v>
      </c>
      <c r="B965" s="11" t="s">
        <v>8</v>
      </c>
      <c r="C965" s="9" t="s">
        <v>774</v>
      </c>
      <c r="D965" s="9" t="s">
        <v>16</v>
      </c>
      <c r="E965" s="10" t="s">
        <v>14</v>
      </c>
      <c r="F965" s="6">
        <v>0.0</v>
      </c>
      <c r="G965" s="7">
        <v>0.0</v>
      </c>
      <c r="H965" s="12" t="str">
        <f t="array" ref="H965">XLOOKUP(C:C,Sheet3!A:A,Sheet3!B:B)</f>
        <v>#N/A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1" t="s">
        <v>7</v>
      </c>
      <c r="B966" s="11" t="s">
        <v>13</v>
      </c>
      <c r="C966" s="9" t="s">
        <v>774</v>
      </c>
      <c r="D966" s="9" t="s">
        <v>16</v>
      </c>
      <c r="E966" s="9" t="s">
        <v>49</v>
      </c>
      <c r="F966" s="6">
        <v>300000.0</v>
      </c>
      <c r="G966" s="7">
        <v>0.0</v>
      </c>
      <c r="H966" s="12" t="str">
        <f t="array" ref="H966">XLOOKUP(C:C,Sheet3!A:A,Sheet3!B:B)</f>
        <v>#N/A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1" t="s">
        <v>12</v>
      </c>
      <c r="B967" s="11" t="s">
        <v>13</v>
      </c>
      <c r="C967" s="9" t="s">
        <v>774</v>
      </c>
      <c r="D967" s="9" t="s">
        <v>16</v>
      </c>
      <c r="E967" s="10" t="s">
        <v>14</v>
      </c>
      <c r="F967" s="6">
        <v>0.0</v>
      </c>
      <c r="G967" s="7">
        <v>0.0</v>
      </c>
      <c r="H967" s="12" t="str">
        <f t="array" ref="H967">XLOOKUP(C:C,Sheet3!A:A,Sheet3!B:B)</f>
        <v>#N/A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1" t="s">
        <v>12</v>
      </c>
      <c r="B968" s="11" t="s">
        <v>8</v>
      </c>
      <c r="C968" s="9" t="s">
        <v>774</v>
      </c>
      <c r="D968" s="9" t="s">
        <v>16</v>
      </c>
      <c r="E968" s="10" t="s">
        <v>14</v>
      </c>
      <c r="F968" s="6">
        <v>0.0</v>
      </c>
      <c r="G968" s="7">
        <v>0.0</v>
      </c>
      <c r="H968" s="12" t="str">
        <f t="array" ref="H968">XLOOKUP(C:C,Sheet3!A:A,Sheet3!B:B)</f>
        <v>#N/A</v>
      </c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1" t="s">
        <v>12</v>
      </c>
      <c r="B969" s="11" t="s">
        <v>13</v>
      </c>
      <c r="C969" s="9" t="s">
        <v>775</v>
      </c>
      <c r="D969" s="9" t="s">
        <v>16</v>
      </c>
      <c r="E969" s="10" t="s">
        <v>14</v>
      </c>
      <c r="F969" s="6">
        <v>0.0</v>
      </c>
      <c r="G969" s="7">
        <v>0.0</v>
      </c>
      <c r="H969" s="12">
        <v>0.0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1" t="s">
        <v>12</v>
      </c>
      <c r="B970" s="11" t="s">
        <v>13</v>
      </c>
      <c r="C970" s="9" t="s">
        <v>776</v>
      </c>
      <c r="D970" s="9" t="s">
        <v>16</v>
      </c>
      <c r="E970" s="9" t="s">
        <v>17</v>
      </c>
      <c r="F970" s="6">
        <v>0.0</v>
      </c>
      <c r="G970" s="7">
        <v>0.0</v>
      </c>
      <c r="H970" s="12">
        <v>0.0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1" t="s">
        <v>7</v>
      </c>
      <c r="B971" s="11" t="s">
        <v>13</v>
      </c>
      <c r="C971" s="9" t="s">
        <v>777</v>
      </c>
      <c r="D971" s="9" t="s">
        <v>83</v>
      </c>
      <c r="E971" s="9" t="s">
        <v>23</v>
      </c>
      <c r="F971" s="6">
        <v>3050000.0</v>
      </c>
      <c r="G971" s="7">
        <v>0.0</v>
      </c>
      <c r="H971" s="12" t="str">
        <f t="array" ref="H971">XLOOKUP(C:C,Sheet3!A:A,Sheet3!B:B)</f>
        <v>#N/A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1" t="s">
        <v>12</v>
      </c>
      <c r="B972" s="11" t="s">
        <v>13</v>
      </c>
      <c r="C972" s="9" t="s">
        <v>777</v>
      </c>
      <c r="D972" s="9" t="s">
        <v>83</v>
      </c>
      <c r="E972" s="9" t="s">
        <v>17</v>
      </c>
      <c r="F972" s="6">
        <v>3050000.0</v>
      </c>
      <c r="G972" s="7">
        <v>3816143.0</v>
      </c>
      <c r="H972" s="12" t="str">
        <f t="array" ref="H972">XLOOKUP(C:C,Sheet3!A:A,Sheet3!B:B)</f>
        <v>#N/A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1" t="s">
        <v>12</v>
      </c>
      <c r="B973" s="11" t="s">
        <v>13</v>
      </c>
      <c r="C973" s="9" t="s">
        <v>778</v>
      </c>
      <c r="D973" s="9" t="s">
        <v>16</v>
      </c>
      <c r="E973" s="10" t="s">
        <v>14</v>
      </c>
      <c r="F973" s="6">
        <v>0.0</v>
      </c>
      <c r="G973" s="7">
        <v>0.0</v>
      </c>
      <c r="H973" s="12">
        <v>0.0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1" t="s">
        <v>12</v>
      </c>
      <c r="B974" s="11" t="s">
        <v>13</v>
      </c>
      <c r="C974" s="9" t="s">
        <v>779</v>
      </c>
      <c r="D974" s="9" t="s">
        <v>16</v>
      </c>
      <c r="E974" s="10" t="s">
        <v>14</v>
      </c>
      <c r="F974" s="6">
        <v>0.0</v>
      </c>
      <c r="G974" s="7">
        <v>0.0</v>
      </c>
      <c r="H974" s="12">
        <v>0.0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1" t="s">
        <v>12</v>
      </c>
      <c r="B975" s="11" t="s">
        <v>13</v>
      </c>
      <c r="C975" s="9" t="s">
        <v>780</v>
      </c>
      <c r="D975" s="9" t="s">
        <v>16</v>
      </c>
      <c r="E975" s="10" t="s">
        <v>14</v>
      </c>
      <c r="F975" s="6">
        <v>0.0</v>
      </c>
      <c r="G975" s="7">
        <v>0.0</v>
      </c>
      <c r="H975" s="12">
        <v>0.0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1" t="s">
        <v>12</v>
      </c>
      <c r="B976" s="11" t="s">
        <v>13</v>
      </c>
      <c r="C976" s="9" t="s">
        <v>781</v>
      </c>
      <c r="D976" s="9" t="s">
        <v>16</v>
      </c>
      <c r="E976" s="10" t="s">
        <v>14</v>
      </c>
      <c r="F976" s="6">
        <v>0.0</v>
      </c>
      <c r="G976" s="7">
        <v>0.0</v>
      </c>
      <c r="H976" s="12">
        <v>0.0</v>
      </c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1" t="s">
        <v>12</v>
      </c>
      <c r="B977" s="11" t="s">
        <v>8</v>
      </c>
      <c r="C977" s="9" t="s">
        <v>782</v>
      </c>
      <c r="D977" s="9" t="s">
        <v>10</v>
      </c>
      <c r="E977" s="9" t="s">
        <v>49</v>
      </c>
      <c r="F977" s="6">
        <v>150000.0</v>
      </c>
      <c r="G977" s="7">
        <v>82330.0</v>
      </c>
      <c r="H977" s="12" t="str">
        <f t="array" ref="H977">XLOOKUP(C:C,Sheet3!A:A,Sheet3!B:B)</f>
        <v>#N/A</v>
      </c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1" t="s">
        <v>12</v>
      </c>
      <c r="B978" s="11" t="s">
        <v>13</v>
      </c>
      <c r="C978" s="9" t="s">
        <v>782</v>
      </c>
      <c r="D978" s="9" t="s">
        <v>10</v>
      </c>
      <c r="E978" s="9" t="s">
        <v>783</v>
      </c>
      <c r="F978" s="6">
        <v>400000.0</v>
      </c>
      <c r="G978" s="7">
        <v>0.0</v>
      </c>
      <c r="H978" s="12" t="str">
        <f t="array" ref="H978">XLOOKUP(C:C,Sheet3!A:A,Sheet3!B:B)</f>
        <v>#N/A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1" t="s">
        <v>12</v>
      </c>
      <c r="B979" s="11" t="s">
        <v>13</v>
      </c>
      <c r="C979" s="9" t="s">
        <v>784</v>
      </c>
      <c r="D979" s="9" t="s">
        <v>16</v>
      </c>
      <c r="E979" s="10" t="s">
        <v>14</v>
      </c>
      <c r="F979" s="6">
        <v>0.0</v>
      </c>
      <c r="G979" s="7">
        <v>0.0</v>
      </c>
      <c r="H979" s="12">
        <v>0.0</v>
      </c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1" t="s">
        <v>7</v>
      </c>
      <c r="B980" s="11" t="s">
        <v>13</v>
      </c>
      <c r="C980" s="9" t="s">
        <v>785</v>
      </c>
      <c r="D980" s="9" t="s">
        <v>83</v>
      </c>
      <c r="E980" s="9" t="s">
        <v>23</v>
      </c>
      <c r="F980" s="6">
        <v>1.0E7</v>
      </c>
      <c r="G980" s="7">
        <v>0.0</v>
      </c>
      <c r="H980" s="12" t="str">
        <f t="array" ref="H980">XLOOKUP(C:C,Sheet3!A:A,Sheet3!B:B)</f>
        <v>#N/A</v>
      </c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1" t="s">
        <v>12</v>
      </c>
      <c r="B981" s="11" t="s">
        <v>13</v>
      </c>
      <c r="C981" s="9" t="s">
        <v>785</v>
      </c>
      <c r="D981" s="9" t="s">
        <v>83</v>
      </c>
      <c r="E981" s="9" t="s">
        <v>17</v>
      </c>
      <c r="F981" s="6">
        <v>1.0E7</v>
      </c>
      <c r="G981" s="7">
        <v>1974384.0</v>
      </c>
      <c r="H981" s="12" t="str">
        <f t="array" ref="H981">XLOOKUP(C:C,Sheet3!A:A,Sheet3!B:B)</f>
        <v>#N/A</v>
      </c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1" t="s">
        <v>12</v>
      </c>
      <c r="B982" s="11" t="s">
        <v>8</v>
      </c>
      <c r="C982" s="9" t="s">
        <v>785</v>
      </c>
      <c r="D982" s="9" t="s">
        <v>83</v>
      </c>
      <c r="E982" s="10" t="s">
        <v>14</v>
      </c>
      <c r="F982" s="6">
        <v>0.0</v>
      </c>
      <c r="G982" s="7">
        <v>200.0</v>
      </c>
      <c r="H982" s="12" t="str">
        <f t="array" ref="H982">XLOOKUP(C:C,Sheet3!A:A,Sheet3!B:B)</f>
        <v>#N/A</v>
      </c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1" t="s">
        <v>12</v>
      </c>
      <c r="B983" s="11" t="s">
        <v>13</v>
      </c>
      <c r="C983" s="9" t="s">
        <v>786</v>
      </c>
      <c r="D983" s="9" t="s">
        <v>83</v>
      </c>
      <c r="E983" s="10" t="s">
        <v>14</v>
      </c>
      <c r="F983" s="6">
        <v>0.0</v>
      </c>
      <c r="G983" s="7">
        <v>3000000.0</v>
      </c>
      <c r="H983" s="12" t="str">
        <f t="array" ref="H983">XLOOKUP(C:C,Sheet3!A:A,Sheet3!B:B)</f>
        <v>#N/A</v>
      </c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1" t="s">
        <v>7</v>
      </c>
      <c r="B984" s="11" t="s">
        <v>13</v>
      </c>
      <c r="C984" s="9" t="s">
        <v>787</v>
      </c>
      <c r="D984" s="9" t="s">
        <v>83</v>
      </c>
      <c r="E984" s="9" t="s">
        <v>23</v>
      </c>
      <c r="F984" s="6">
        <v>1.0E7</v>
      </c>
      <c r="G984" s="7">
        <v>0.0</v>
      </c>
      <c r="H984" s="12" t="str">
        <f t="array" ref="H984">XLOOKUP(C:C,Sheet3!A:A,Sheet3!B:B)</f>
        <v>#N/A</v>
      </c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1" t="s">
        <v>12</v>
      </c>
      <c r="B985" s="11" t="s">
        <v>13</v>
      </c>
      <c r="C985" s="9" t="s">
        <v>787</v>
      </c>
      <c r="D985" s="9" t="s">
        <v>83</v>
      </c>
      <c r="E985" s="9" t="s">
        <v>17</v>
      </c>
      <c r="F985" s="6">
        <v>1.4E7</v>
      </c>
      <c r="G985" s="7">
        <v>4120736.0</v>
      </c>
      <c r="H985" s="12" t="str">
        <f t="array" ref="H985">XLOOKUP(C:C,Sheet3!A:A,Sheet3!B:B)</f>
        <v>#N/A</v>
      </c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1" t="s">
        <v>12</v>
      </c>
      <c r="B986" s="11" t="s">
        <v>8</v>
      </c>
      <c r="C986" s="9" t="s">
        <v>787</v>
      </c>
      <c r="D986" s="9" t="s">
        <v>83</v>
      </c>
      <c r="E986" s="9" t="s">
        <v>17</v>
      </c>
      <c r="F986" s="6">
        <v>1000000.0</v>
      </c>
      <c r="G986" s="7">
        <v>966318.0</v>
      </c>
      <c r="H986" s="12" t="str">
        <f t="array" ref="H986">XLOOKUP(C:C,Sheet3!A:A,Sheet3!B:B)</f>
        <v>#N/A</v>
      </c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1" t="s">
        <v>12</v>
      </c>
      <c r="B987" s="11" t="s">
        <v>13</v>
      </c>
      <c r="C987" s="9" t="s">
        <v>788</v>
      </c>
      <c r="D987" s="9" t="s">
        <v>16</v>
      </c>
      <c r="E987" s="10" t="s">
        <v>14</v>
      </c>
      <c r="F987" s="6">
        <v>0.0</v>
      </c>
      <c r="G987" s="7">
        <v>0.0</v>
      </c>
      <c r="H987" s="12">
        <v>0.0</v>
      </c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1" t="s">
        <v>12</v>
      </c>
      <c r="B988" s="11" t="s">
        <v>13</v>
      </c>
      <c r="C988" s="9" t="s">
        <v>789</v>
      </c>
      <c r="D988" s="9" t="s">
        <v>83</v>
      </c>
      <c r="E988" s="10" t="s">
        <v>14</v>
      </c>
      <c r="F988" s="6">
        <v>0.0</v>
      </c>
      <c r="G988" s="7">
        <v>6312000.0</v>
      </c>
      <c r="H988" s="12" t="str">
        <f t="array" ref="H988">XLOOKUP(C:C,Sheet3!A:A,Sheet3!B:B)</f>
        <v>#N/A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1" t="s">
        <v>12</v>
      </c>
      <c r="B989" s="11" t="s">
        <v>13</v>
      </c>
      <c r="C989" s="9" t="s">
        <v>790</v>
      </c>
      <c r="D989" s="9" t="s">
        <v>16</v>
      </c>
      <c r="E989" s="10" t="s">
        <v>14</v>
      </c>
      <c r="F989" s="6">
        <v>230000.0</v>
      </c>
      <c r="G989" s="7">
        <v>0.0</v>
      </c>
      <c r="H989" s="12">
        <v>0.0</v>
      </c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1" t="s">
        <v>12</v>
      </c>
      <c r="B990" s="11" t="s">
        <v>13</v>
      </c>
      <c r="C990" s="9" t="s">
        <v>791</v>
      </c>
      <c r="D990" s="9" t="s">
        <v>16</v>
      </c>
      <c r="E990" s="10" t="s">
        <v>14</v>
      </c>
      <c r="F990" s="6">
        <v>0.0</v>
      </c>
      <c r="G990" s="7">
        <v>0.0</v>
      </c>
      <c r="H990" s="12">
        <v>0.0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1" t="s">
        <v>12</v>
      </c>
      <c r="B991" s="11" t="s">
        <v>13</v>
      </c>
      <c r="C991" s="9" t="s">
        <v>792</v>
      </c>
      <c r="D991" s="9" t="s">
        <v>16</v>
      </c>
      <c r="E991" s="9" t="s">
        <v>17</v>
      </c>
      <c r="F991" s="6">
        <v>100000.0</v>
      </c>
      <c r="G991" s="7">
        <v>0.0</v>
      </c>
      <c r="H991" s="12" t="str">
        <f t="array" ref="H991">XLOOKUP(C:C,Sheet3!A:A,Sheet3!B:B)</f>
        <v>#N/A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1" t="s">
        <v>7</v>
      </c>
      <c r="B992" s="11" t="s">
        <v>13</v>
      </c>
      <c r="C992" s="9" t="s">
        <v>793</v>
      </c>
      <c r="D992" s="9" t="s">
        <v>48</v>
      </c>
      <c r="E992" s="9" t="s">
        <v>794</v>
      </c>
      <c r="F992" s="6">
        <v>1.0E7</v>
      </c>
      <c r="G992" s="7">
        <v>0.0</v>
      </c>
      <c r="H992" s="12" t="str">
        <f t="array" ref="H992">XLOOKUP(C:C,Sheet3!A:A,Sheet3!B:B)</f>
        <v>#N/A</v>
      </c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1" t="s">
        <v>12</v>
      </c>
      <c r="B993" s="11" t="s">
        <v>13</v>
      </c>
      <c r="C993" s="9" t="s">
        <v>793</v>
      </c>
      <c r="D993" s="9" t="s">
        <v>48</v>
      </c>
      <c r="E993" s="9" t="s">
        <v>33</v>
      </c>
      <c r="F993" s="6">
        <v>1.0E7</v>
      </c>
      <c r="G993" s="7">
        <v>1357132.0</v>
      </c>
      <c r="H993" s="12" t="str">
        <f t="array" ref="H993">XLOOKUP(C:C,Sheet3!A:A,Sheet3!B:B)</f>
        <v>#N/A</v>
      </c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1" t="s">
        <v>12</v>
      </c>
      <c r="B994" s="11" t="s">
        <v>8</v>
      </c>
      <c r="C994" s="9" t="s">
        <v>793</v>
      </c>
      <c r="D994" s="9" t="s">
        <v>48</v>
      </c>
      <c r="E994" s="9" t="s">
        <v>33</v>
      </c>
      <c r="F994" s="6">
        <v>5694978.0</v>
      </c>
      <c r="G994" s="7">
        <v>0.0</v>
      </c>
      <c r="H994" s="12" t="str">
        <f t="array" ref="H994">XLOOKUP(C:C,Sheet3!A:A,Sheet3!B:B)</f>
        <v>#N/A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1" t="s">
        <v>12</v>
      </c>
      <c r="B995" s="11" t="s">
        <v>13</v>
      </c>
      <c r="C995" s="9" t="s">
        <v>795</v>
      </c>
      <c r="D995" s="9" t="s">
        <v>16</v>
      </c>
      <c r="E995" s="10" t="s">
        <v>14</v>
      </c>
      <c r="F995" s="6">
        <v>0.0</v>
      </c>
      <c r="G995" s="7">
        <v>0.0</v>
      </c>
      <c r="H995" s="12">
        <v>0.0</v>
      </c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1" t="s">
        <v>12</v>
      </c>
      <c r="B996" s="11" t="s">
        <v>13</v>
      </c>
      <c r="C996" s="9" t="s">
        <v>796</v>
      </c>
      <c r="D996" s="9" t="s">
        <v>88</v>
      </c>
      <c r="E996" s="10" t="s">
        <v>14</v>
      </c>
      <c r="F996" s="6">
        <v>25000.0</v>
      </c>
      <c r="G996" s="7">
        <v>21122.0</v>
      </c>
      <c r="H996" s="12" t="str">
        <f t="array" ref="H996">XLOOKUP(C:C,Sheet3!A:A,Sheet3!B:B)</f>
        <v>#N/A</v>
      </c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1" t="s">
        <v>12</v>
      </c>
      <c r="B997" s="11" t="s">
        <v>13</v>
      </c>
      <c r="C997" s="9" t="s">
        <v>797</v>
      </c>
      <c r="D997" s="9" t="s">
        <v>16</v>
      </c>
      <c r="E997" s="10" t="s">
        <v>14</v>
      </c>
      <c r="F997" s="6">
        <v>0.0</v>
      </c>
      <c r="G997" s="7">
        <v>0.0</v>
      </c>
      <c r="H997" s="12">
        <v>0.0</v>
      </c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1" t="s">
        <v>12</v>
      </c>
      <c r="B998" s="11" t="s">
        <v>13</v>
      </c>
      <c r="C998" s="9" t="s">
        <v>798</v>
      </c>
      <c r="D998" s="9" t="s">
        <v>16</v>
      </c>
      <c r="E998" s="10" t="s">
        <v>14</v>
      </c>
      <c r="F998" s="6">
        <v>37000.0</v>
      </c>
      <c r="G998" s="7">
        <v>43070.0</v>
      </c>
      <c r="H998" s="12">
        <v>0.0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1" t="s">
        <v>12</v>
      </c>
      <c r="B999" s="11" t="s">
        <v>13</v>
      </c>
      <c r="C999" s="9" t="s">
        <v>799</v>
      </c>
      <c r="D999" s="9" t="s">
        <v>16</v>
      </c>
      <c r="E999" s="10" t="s">
        <v>14</v>
      </c>
      <c r="F999" s="6">
        <v>0.0</v>
      </c>
      <c r="G999" s="7">
        <v>0.0</v>
      </c>
      <c r="H999" s="12">
        <v>0.0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1" t="s">
        <v>7</v>
      </c>
      <c r="B1000" s="11" t="s">
        <v>13</v>
      </c>
      <c r="C1000" s="9" t="s">
        <v>800</v>
      </c>
      <c r="D1000" s="9" t="s">
        <v>16</v>
      </c>
      <c r="E1000" s="10" t="s">
        <v>14</v>
      </c>
      <c r="F1000" s="6">
        <v>0.0</v>
      </c>
      <c r="G1000" s="7">
        <v>0.0</v>
      </c>
      <c r="H1000" s="12">
        <v>0.0</v>
      </c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1" t="s">
        <v>7</v>
      </c>
      <c r="B1001" s="11" t="s">
        <v>13</v>
      </c>
      <c r="C1001" s="9" t="s">
        <v>801</v>
      </c>
      <c r="D1001" s="9" t="s">
        <v>88</v>
      </c>
      <c r="E1001" s="9" t="s">
        <v>23</v>
      </c>
      <c r="F1001" s="6">
        <v>1500000.0</v>
      </c>
      <c r="G1001" s="7">
        <v>0.0</v>
      </c>
      <c r="H1001" s="12" t="str">
        <f t="array" ref="H1001">XLOOKUP(C:C,Sheet3!A:A,Sheet3!B:B)</f>
        <v>#N/A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1" t="s">
        <v>12</v>
      </c>
      <c r="B1002" s="11" t="s">
        <v>13</v>
      </c>
      <c r="C1002" s="9" t="s">
        <v>801</v>
      </c>
      <c r="D1002" s="9" t="s">
        <v>88</v>
      </c>
      <c r="E1002" s="9" t="s">
        <v>17</v>
      </c>
      <c r="F1002" s="6">
        <v>1760000.0</v>
      </c>
      <c r="G1002" s="7">
        <v>235959.0</v>
      </c>
      <c r="H1002" s="12" t="str">
        <f t="array" ref="H1002">XLOOKUP(C:C,Sheet3!A:A,Sheet3!B:B)</f>
        <v>#N/A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1" t="s">
        <v>12</v>
      </c>
      <c r="B1003" s="11" t="s">
        <v>13</v>
      </c>
      <c r="C1003" s="9" t="s">
        <v>802</v>
      </c>
      <c r="D1003" s="9" t="s">
        <v>88</v>
      </c>
      <c r="E1003" s="10" t="s">
        <v>14</v>
      </c>
      <c r="F1003" s="6">
        <v>0.0</v>
      </c>
      <c r="G1003" s="7">
        <v>0.0</v>
      </c>
      <c r="H1003" s="12" t="str">
        <f t="array" ref="H1003">XLOOKUP(C:C,Sheet3!A:A,Sheet3!B:B)</f>
        <v>#N/A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1" t="s">
        <v>7</v>
      </c>
      <c r="B1004" s="11" t="s">
        <v>13</v>
      </c>
      <c r="C1004" s="9" t="s">
        <v>803</v>
      </c>
      <c r="D1004" s="9" t="s">
        <v>16</v>
      </c>
      <c r="E1004" s="10" t="s">
        <v>14</v>
      </c>
      <c r="F1004" s="6">
        <v>0.0</v>
      </c>
      <c r="G1004" s="7">
        <v>0.0</v>
      </c>
      <c r="H1004" s="12">
        <v>0.0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1" t="s">
        <v>12</v>
      </c>
      <c r="B1005" s="11" t="s">
        <v>13</v>
      </c>
      <c r="C1005" s="9" t="s">
        <v>803</v>
      </c>
      <c r="D1005" s="9" t="s">
        <v>16</v>
      </c>
      <c r="E1005" s="10" t="s">
        <v>14</v>
      </c>
      <c r="F1005" s="6">
        <v>0.0</v>
      </c>
      <c r="G1005" s="7">
        <v>0.0</v>
      </c>
      <c r="H1005" s="12">
        <v>0.0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1" t="s">
        <v>7</v>
      </c>
      <c r="B1006" s="11" t="s">
        <v>13</v>
      </c>
      <c r="C1006" s="9" t="s">
        <v>804</v>
      </c>
      <c r="D1006" s="9" t="s">
        <v>88</v>
      </c>
      <c r="E1006" s="9" t="s">
        <v>17</v>
      </c>
      <c r="F1006" s="6">
        <v>500000.0</v>
      </c>
      <c r="G1006" s="7">
        <v>0.0</v>
      </c>
      <c r="H1006" s="12" t="str">
        <f t="array" ref="H1006">XLOOKUP(C:C,Sheet3!A:A,Sheet3!B:B)</f>
        <v>#N/A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1" t="s">
        <v>12</v>
      </c>
      <c r="B1007" s="11" t="s">
        <v>13</v>
      </c>
      <c r="C1007" s="9" t="s">
        <v>804</v>
      </c>
      <c r="D1007" s="9" t="s">
        <v>88</v>
      </c>
      <c r="E1007" s="9" t="s">
        <v>17</v>
      </c>
      <c r="F1007" s="6">
        <v>2750000.0</v>
      </c>
      <c r="G1007" s="7">
        <v>839423.0</v>
      </c>
      <c r="H1007" s="12" t="str">
        <f t="array" ref="H1007">XLOOKUP(C:C,Sheet3!A:A,Sheet3!B:B)</f>
        <v>#N/A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1" t="s">
        <v>12</v>
      </c>
      <c r="B1008" s="11" t="s">
        <v>13</v>
      </c>
      <c r="C1008" s="9" t="s">
        <v>805</v>
      </c>
      <c r="D1008" s="9" t="s">
        <v>88</v>
      </c>
      <c r="E1008" s="10" t="s">
        <v>14</v>
      </c>
      <c r="F1008" s="6">
        <v>0.0</v>
      </c>
      <c r="G1008" s="7">
        <v>0.0</v>
      </c>
      <c r="H1008" s="12" t="str">
        <f t="array" ref="H1008">XLOOKUP(C:C,Sheet3!A:A,Sheet3!B:B)</f>
        <v>#N/A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1" t="s">
        <v>7</v>
      </c>
      <c r="B1009" s="11" t="s">
        <v>13</v>
      </c>
      <c r="C1009" s="9" t="s">
        <v>806</v>
      </c>
      <c r="D1009" s="9" t="s">
        <v>16</v>
      </c>
      <c r="E1009" s="10" t="s">
        <v>14</v>
      </c>
      <c r="F1009" s="6">
        <v>0.0</v>
      </c>
      <c r="G1009" s="7">
        <v>0.0</v>
      </c>
      <c r="H1009" s="12" t="str">
        <f t="array" ref="H1009">XLOOKUP(C:C,Sheet3!A:A,Sheet3!B:B)</f>
        <v>#N/A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1" t="s">
        <v>12</v>
      </c>
      <c r="B1010" s="11" t="s">
        <v>13</v>
      </c>
      <c r="C1010" s="9" t="s">
        <v>806</v>
      </c>
      <c r="D1010" s="9" t="s">
        <v>16</v>
      </c>
      <c r="E1010" s="10" t="s">
        <v>14</v>
      </c>
      <c r="F1010" s="6">
        <v>735000.0</v>
      </c>
      <c r="G1010" s="7">
        <v>730094.0</v>
      </c>
      <c r="H1010" s="12" t="str">
        <f t="array" ref="H1010">XLOOKUP(C:C,Sheet3!A:A,Sheet3!B:B)</f>
        <v>#N/A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1" t="s">
        <v>12</v>
      </c>
      <c r="B1011" s="11" t="s">
        <v>13</v>
      </c>
      <c r="C1011" s="9" t="s">
        <v>807</v>
      </c>
      <c r="D1011" s="9" t="s">
        <v>16</v>
      </c>
      <c r="E1011" s="10" t="s">
        <v>14</v>
      </c>
      <c r="F1011" s="6">
        <v>0.0</v>
      </c>
      <c r="G1011" s="7">
        <v>0.0</v>
      </c>
      <c r="H1011" s="12">
        <v>0.0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1" t="s">
        <v>12</v>
      </c>
      <c r="B1012" s="11" t="s">
        <v>13</v>
      </c>
      <c r="C1012" s="9" t="s">
        <v>808</v>
      </c>
      <c r="D1012" s="9" t="s">
        <v>16</v>
      </c>
      <c r="E1012" s="10" t="s">
        <v>14</v>
      </c>
      <c r="F1012" s="6">
        <v>0.0</v>
      </c>
      <c r="G1012" s="7">
        <v>0.0</v>
      </c>
      <c r="H1012" s="12">
        <v>0.0</v>
      </c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1" t="s">
        <v>12</v>
      </c>
      <c r="B1013" s="11" t="s">
        <v>13</v>
      </c>
      <c r="C1013" s="9" t="s">
        <v>809</v>
      </c>
      <c r="D1013" s="9" t="s">
        <v>16</v>
      </c>
      <c r="E1013" s="9" t="s">
        <v>49</v>
      </c>
      <c r="F1013" s="6">
        <v>0.0</v>
      </c>
      <c r="G1013" s="7">
        <v>0.0</v>
      </c>
      <c r="H1013" s="12">
        <v>0.0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1" t="s">
        <v>12</v>
      </c>
      <c r="B1014" s="11" t="s">
        <v>13</v>
      </c>
      <c r="C1014" s="9" t="s">
        <v>810</v>
      </c>
      <c r="D1014" s="9" t="s">
        <v>419</v>
      </c>
      <c r="E1014" s="9" t="s">
        <v>11</v>
      </c>
      <c r="F1014" s="6">
        <v>500000.0</v>
      </c>
      <c r="G1014" s="7">
        <v>0.0</v>
      </c>
      <c r="H1014" s="12" t="str">
        <f t="array" ref="H1014">XLOOKUP(C:C,Sheet3!A:A,Sheet3!B:B)</f>
        <v>#N/A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1" t="s">
        <v>7</v>
      </c>
      <c r="B1015" s="11" t="s">
        <v>8</v>
      </c>
      <c r="C1015" s="9" t="s">
        <v>811</v>
      </c>
      <c r="D1015" s="9" t="s">
        <v>32</v>
      </c>
      <c r="E1015" s="10" t="s">
        <v>14</v>
      </c>
      <c r="F1015" s="6">
        <v>0.0</v>
      </c>
      <c r="G1015" s="7">
        <v>0.0</v>
      </c>
      <c r="H1015" s="12" t="str">
        <f t="array" ref="H1015">XLOOKUP(C:C,Sheet3!A:A,Sheet3!B:B)</f>
        <v>#N/A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1" t="s">
        <v>7</v>
      </c>
      <c r="B1016" s="11" t="s">
        <v>13</v>
      </c>
      <c r="C1016" s="9" t="s">
        <v>811</v>
      </c>
      <c r="D1016" s="9" t="s">
        <v>32</v>
      </c>
      <c r="E1016" s="10" t="s">
        <v>14</v>
      </c>
      <c r="F1016" s="6">
        <v>0.0</v>
      </c>
      <c r="G1016" s="7">
        <v>0.0</v>
      </c>
      <c r="H1016" s="12" t="str">
        <f t="array" ref="H1016">XLOOKUP(C:C,Sheet3!A:A,Sheet3!B:B)</f>
        <v>#N/A</v>
      </c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1" t="s">
        <v>12</v>
      </c>
      <c r="B1017" s="11" t="s">
        <v>13</v>
      </c>
      <c r="C1017" s="9" t="s">
        <v>811</v>
      </c>
      <c r="D1017" s="9" t="s">
        <v>32</v>
      </c>
      <c r="E1017" s="9" t="s">
        <v>49</v>
      </c>
      <c r="F1017" s="6">
        <v>0.0</v>
      </c>
      <c r="G1017" s="7">
        <v>-8909.0</v>
      </c>
      <c r="H1017" s="12" t="str">
        <f t="array" ref="H1017">XLOOKUP(C:C,Sheet3!A:A,Sheet3!B:B)</f>
        <v>#N/A</v>
      </c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1" t="s">
        <v>12</v>
      </c>
      <c r="B1018" s="11" t="s">
        <v>13</v>
      </c>
      <c r="C1018" s="9" t="s">
        <v>812</v>
      </c>
      <c r="D1018" s="9" t="s">
        <v>16</v>
      </c>
      <c r="E1018" s="10" t="s">
        <v>14</v>
      </c>
      <c r="F1018" s="6">
        <v>0.0</v>
      </c>
      <c r="G1018" s="7">
        <v>0.0</v>
      </c>
      <c r="H1018" s="12">
        <v>0.0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1" t="s">
        <v>12</v>
      </c>
      <c r="B1019" s="11" t="s">
        <v>13</v>
      </c>
      <c r="C1019" s="9" t="s">
        <v>813</v>
      </c>
      <c r="D1019" s="9" t="s">
        <v>16</v>
      </c>
      <c r="E1019" s="10" t="s">
        <v>14</v>
      </c>
      <c r="F1019" s="6">
        <v>0.0</v>
      </c>
      <c r="G1019" s="7">
        <v>0.0</v>
      </c>
      <c r="H1019" s="12">
        <v>0.0</v>
      </c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1" t="s">
        <v>12</v>
      </c>
      <c r="B1020" s="11" t="s">
        <v>13</v>
      </c>
      <c r="C1020" s="9" t="s">
        <v>814</v>
      </c>
      <c r="D1020" s="9" t="s">
        <v>16</v>
      </c>
      <c r="E1020" s="10" t="s">
        <v>14</v>
      </c>
      <c r="F1020" s="6">
        <v>0.0</v>
      </c>
      <c r="G1020" s="7">
        <v>0.0</v>
      </c>
      <c r="H1020" s="12">
        <v>0.0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1" t="s">
        <v>7</v>
      </c>
      <c r="B1021" s="11" t="s">
        <v>13</v>
      </c>
      <c r="C1021" s="9" t="s">
        <v>815</v>
      </c>
      <c r="D1021" s="9" t="s">
        <v>32</v>
      </c>
      <c r="E1021" s="9" t="s">
        <v>223</v>
      </c>
      <c r="F1021" s="6">
        <v>3700000.0</v>
      </c>
      <c r="G1021" s="7">
        <v>0.0</v>
      </c>
      <c r="H1021" s="12" t="str">
        <f t="array" ref="H1021">XLOOKUP(C:C,Sheet3!A:A,Sheet3!B:B)</f>
        <v>#N/A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>
      <c r="A1022" s="11" t="s">
        <v>12</v>
      </c>
      <c r="B1022" s="11" t="s">
        <v>13</v>
      </c>
      <c r="C1022" s="9" t="s">
        <v>815</v>
      </c>
      <c r="D1022" s="9" t="s">
        <v>32</v>
      </c>
      <c r="E1022" s="9" t="s">
        <v>96</v>
      </c>
      <c r="F1022" s="6">
        <v>3700000.0</v>
      </c>
      <c r="G1022" s="7">
        <v>3519794.0</v>
      </c>
      <c r="H1022" s="12" t="str">
        <f t="array" ref="H1022">XLOOKUP(C:C,Sheet3!A:A,Sheet3!B:B)</f>
        <v>#N/A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1" t="s">
        <v>12</v>
      </c>
      <c r="B1023" s="11" t="s">
        <v>13</v>
      </c>
      <c r="C1023" s="9" t="s">
        <v>816</v>
      </c>
      <c r="D1023" s="9" t="s">
        <v>32</v>
      </c>
      <c r="E1023" s="10" t="s">
        <v>14</v>
      </c>
      <c r="F1023" s="6">
        <v>0.0</v>
      </c>
      <c r="G1023" s="7">
        <v>1274.0</v>
      </c>
      <c r="H1023" s="12" t="str">
        <f t="array" ref="H1023">XLOOKUP(C:C,Sheet3!A:A,Sheet3!B:B)</f>
        <v>#N/A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>
      <c r="A1024" s="11" t="s">
        <v>12</v>
      </c>
      <c r="B1024" s="11" t="s">
        <v>13</v>
      </c>
      <c r="C1024" s="9" t="s">
        <v>817</v>
      </c>
      <c r="D1024" s="9" t="s">
        <v>16</v>
      </c>
      <c r="E1024" s="10" t="s">
        <v>14</v>
      </c>
      <c r="F1024" s="6">
        <v>0.0</v>
      </c>
      <c r="G1024" s="7">
        <v>0.0</v>
      </c>
      <c r="H1024" s="12">
        <v>0.0</v>
      </c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1" t="s">
        <v>12</v>
      </c>
      <c r="B1025" s="11" t="s">
        <v>13</v>
      </c>
      <c r="C1025" s="9" t="s">
        <v>818</v>
      </c>
      <c r="D1025" s="9" t="s">
        <v>16</v>
      </c>
      <c r="E1025" s="10" t="s">
        <v>14</v>
      </c>
      <c r="F1025" s="6">
        <v>0.0</v>
      </c>
      <c r="G1025" s="7">
        <v>0.0</v>
      </c>
      <c r="H1025" s="12">
        <v>0.0</v>
      </c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>
      <c r="A1026" s="11" t="s">
        <v>12</v>
      </c>
      <c r="B1026" s="11" t="s">
        <v>13</v>
      </c>
      <c r="C1026" s="9" t="s">
        <v>819</v>
      </c>
      <c r="D1026" s="9" t="s">
        <v>16</v>
      </c>
      <c r="E1026" s="9" t="s">
        <v>33</v>
      </c>
      <c r="F1026" s="6">
        <v>0.0</v>
      </c>
      <c r="G1026" s="7">
        <v>0.0</v>
      </c>
      <c r="H1026" s="12">
        <v>0.0</v>
      </c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1" t="s">
        <v>12</v>
      </c>
      <c r="B1027" s="11" t="s">
        <v>13</v>
      </c>
      <c r="C1027" s="9" t="s">
        <v>820</v>
      </c>
      <c r="D1027" s="9" t="s">
        <v>16</v>
      </c>
      <c r="E1027" s="9" t="s">
        <v>49</v>
      </c>
      <c r="F1027" s="6">
        <v>1000000.0</v>
      </c>
      <c r="G1027" s="7">
        <v>3304.0</v>
      </c>
      <c r="H1027" s="12" t="str">
        <f t="array" ref="H1027">XLOOKUP(C:C,Sheet3!A:A,Sheet3!B:B)</f>
        <v>#N/A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>
      <c r="A1028" s="11" t="s">
        <v>12</v>
      </c>
      <c r="B1028" s="11" t="s">
        <v>8</v>
      </c>
      <c r="C1028" s="9" t="s">
        <v>821</v>
      </c>
      <c r="D1028" s="9" t="s">
        <v>16</v>
      </c>
      <c r="E1028" s="10" t="s">
        <v>14</v>
      </c>
      <c r="F1028" s="6">
        <v>0.0</v>
      </c>
      <c r="G1028" s="7">
        <v>0.0</v>
      </c>
      <c r="H1028" s="12">
        <v>0.0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1" t="s">
        <v>12</v>
      </c>
      <c r="B1029" s="11" t="s">
        <v>13</v>
      </c>
      <c r="C1029" s="9" t="s">
        <v>822</v>
      </c>
      <c r="D1029" s="9" t="s">
        <v>16</v>
      </c>
      <c r="E1029" s="10" t="s">
        <v>14</v>
      </c>
      <c r="F1029" s="6">
        <v>0.0</v>
      </c>
      <c r="G1029" s="7">
        <v>0.0</v>
      </c>
      <c r="H1029" s="12">
        <v>0.0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>
      <c r="A1030" s="11" t="s">
        <v>12</v>
      </c>
      <c r="B1030" s="11" t="s">
        <v>13</v>
      </c>
      <c r="C1030" s="9" t="s">
        <v>823</v>
      </c>
      <c r="D1030" s="9" t="s">
        <v>115</v>
      </c>
      <c r="E1030" s="9" t="s">
        <v>49</v>
      </c>
      <c r="F1030" s="6">
        <v>500000.0</v>
      </c>
      <c r="G1030" s="7">
        <v>0.0</v>
      </c>
      <c r="H1030" s="12" t="str">
        <f t="array" ref="H1030">XLOOKUP(C:C,Sheet3!A:A,Sheet3!B:B)</f>
        <v>#N/A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>
      <c r="A1031" s="11" t="s">
        <v>12</v>
      </c>
      <c r="B1031" s="11" t="s">
        <v>13</v>
      </c>
      <c r="C1031" s="9" t="s">
        <v>824</v>
      </c>
      <c r="D1031" s="9" t="s">
        <v>37</v>
      </c>
      <c r="E1031" s="10" t="s">
        <v>14</v>
      </c>
      <c r="F1031" s="6">
        <v>1500.0</v>
      </c>
      <c r="G1031" s="7">
        <v>0.0</v>
      </c>
      <c r="H1031" s="12" t="str">
        <f t="array" ref="H1031">XLOOKUP(C:C,Sheet3!A:A,Sheet3!B:B)</f>
        <v>#N/A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>
      <c r="A1032" s="11" t="s">
        <v>12</v>
      </c>
      <c r="B1032" s="11" t="s">
        <v>13</v>
      </c>
      <c r="C1032" s="9" t="s">
        <v>825</v>
      </c>
      <c r="D1032" s="9" t="s">
        <v>16</v>
      </c>
      <c r="E1032" s="10" t="s">
        <v>14</v>
      </c>
      <c r="F1032" s="6">
        <v>0.0</v>
      </c>
      <c r="G1032" s="7">
        <v>0.0</v>
      </c>
      <c r="H1032" s="12">
        <v>0.0</v>
      </c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>
      <c r="A1033" s="11" t="s">
        <v>12</v>
      </c>
      <c r="B1033" s="11" t="s">
        <v>13</v>
      </c>
      <c r="C1033" s="9" t="s">
        <v>826</v>
      </c>
      <c r="D1033" s="9" t="s">
        <v>88</v>
      </c>
      <c r="E1033" s="9" t="s">
        <v>49</v>
      </c>
      <c r="F1033" s="6">
        <v>1500000.0</v>
      </c>
      <c r="G1033" s="7">
        <v>588937.0</v>
      </c>
      <c r="H1033" s="12" t="str">
        <f t="array" ref="H1033">XLOOKUP(C:C,Sheet3!A:A,Sheet3!B:B)</f>
        <v>#N/A</v>
      </c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>
      <c r="A1034" s="11" t="s">
        <v>12</v>
      </c>
      <c r="B1034" s="11" t="s">
        <v>13</v>
      </c>
      <c r="C1034" s="9" t="s">
        <v>827</v>
      </c>
      <c r="D1034" s="9" t="s">
        <v>16</v>
      </c>
      <c r="E1034" s="10" t="s">
        <v>14</v>
      </c>
      <c r="F1034" s="6">
        <v>0.0</v>
      </c>
      <c r="G1034" s="7">
        <v>0.0</v>
      </c>
      <c r="H1034" s="12">
        <v>0.0</v>
      </c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>
      <c r="A1035" s="11" t="s">
        <v>7</v>
      </c>
      <c r="B1035" s="11" t="s">
        <v>13</v>
      </c>
      <c r="C1035" s="9" t="s">
        <v>828</v>
      </c>
      <c r="D1035" s="9" t="s">
        <v>16</v>
      </c>
      <c r="E1035" s="9" t="s">
        <v>144</v>
      </c>
      <c r="F1035" s="6">
        <v>1500000.0</v>
      </c>
      <c r="G1035" s="7">
        <v>0.0</v>
      </c>
      <c r="H1035" s="12" t="str">
        <f t="array" ref="H1035">XLOOKUP(C:C,Sheet3!A:A,Sheet3!B:B)</f>
        <v>#N/A</v>
      </c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>
      <c r="A1036" s="11" t="s">
        <v>12</v>
      </c>
      <c r="B1036" s="11" t="s">
        <v>13</v>
      </c>
      <c r="C1036" s="9" t="s">
        <v>829</v>
      </c>
      <c r="D1036" s="9" t="s">
        <v>16</v>
      </c>
      <c r="E1036" s="9" t="s">
        <v>33</v>
      </c>
      <c r="F1036" s="6">
        <v>0.0</v>
      </c>
      <c r="G1036" s="7">
        <v>0.0</v>
      </c>
      <c r="H1036" s="12">
        <v>0.0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>
      <c r="A1037" s="11" t="s">
        <v>12</v>
      </c>
      <c r="B1037" s="11" t="s">
        <v>13</v>
      </c>
      <c r="C1037" s="9" t="s">
        <v>830</v>
      </c>
      <c r="D1037" s="9" t="s">
        <v>16</v>
      </c>
      <c r="E1037" s="9" t="s">
        <v>187</v>
      </c>
      <c r="F1037" s="6">
        <v>200000.0</v>
      </c>
      <c r="G1037" s="7">
        <v>0.0</v>
      </c>
      <c r="H1037" s="12" t="str">
        <f t="array" ref="H1037">XLOOKUP(C:C,Sheet3!A:A,Sheet3!B:B)</f>
        <v>#N/A</v>
      </c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>
      <c r="A1038" s="11" t="s">
        <v>12</v>
      </c>
      <c r="B1038" s="11" t="s">
        <v>13</v>
      </c>
      <c r="C1038" s="9" t="s">
        <v>831</v>
      </c>
      <c r="D1038" s="9" t="s">
        <v>48</v>
      </c>
      <c r="E1038" s="10" t="s">
        <v>14</v>
      </c>
      <c r="F1038" s="6">
        <v>2413000.0</v>
      </c>
      <c r="G1038" s="7">
        <v>6114000.0</v>
      </c>
      <c r="H1038" s="12" t="str">
        <f t="array" ref="H1038">XLOOKUP(C:C,Sheet3!A:A,Sheet3!B:B)</f>
        <v>#N/A</v>
      </c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>
      <c r="A1039" s="11" t="s">
        <v>12</v>
      </c>
      <c r="B1039" s="11" t="s">
        <v>13</v>
      </c>
      <c r="C1039" s="9" t="s">
        <v>832</v>
      </c>
      <c r="D1039" s="9" t="s">
        <v>16</v>
      </c>
      <c r="E1039" s="9" t="s">
        <v>17</v>
      </c>
      <c r="F1039" s="6">
        <v>0.0</v>
      </c>
      <c r="G1039" s="7">
        <v>0.0</v>
      </c>
      <c r="H1039" s="12" t="str">
        <f t="array" ref="H1039">XLOOKUP(C:C,Sheet3!A:A,Sheet3!B:B)</f>
        <v>#N/A</v>
      </c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>
      <c r="A1040" s="11" t="s">
        <v>12</v>
      </c>
      <c r="B1040" s="11" t="s">
        <v>13</v>
      </c>
      <c r="C1040" s="9" t="s">
        <v>833</v>
      </c>
      <c r="D1040" s="9" t="s">
        <v>16</v>
      </c>
      <c r="E1040" s="9" t="s">
        <v>17</v>
      </c>
      <c r="F1040" s="6">
        <v>3600000.0</v>
      </c>
      <c r="G1040" s="7">
        <v>196930.0</v>
      </c>
      <c r="H1040" s="12" t="str">
        <f t="array" ref="H1040">XLOOKUP(C:C,Sheet3!A:A,Sheet3!B:B)</f>
        <v>#N/A</v>
      </c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>
      <c r="A1041" s="11" t="s">
        <v>12</v>
      </c>
      <c r="B1041" s="11" t="s">
        <v>13</v>
      </c>
      <c r="C1041" s="9" t="s">
        <v>834</v>
      </c>
      <c r="D1041" s="9" t="s">
        <v>16</v>
      </c>
      <c r="E1041" s="10" t="s">
        <v>14</v>
      </c>
      <c r="F1041" s="6">
        <v>0.0</v>
      </c>
      <c r="G1041" s="7">
        <v>0.0</v>
      </c>
      <c r="H1041" s="12">
        <v>0.0</v>
      </c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>
      <c r="A1042" s="11" t="s">
        <v>12</v>
      </c>
      <c r="B1042" s="11" t="s">
        <v>13</v>
      </c>
      <c r="C1042" s="9" t="s">
        <v>835</v>
      </c>
      <c r="D1042" s="9" t="s">
        <v>16</v>
      </c>
      <c r="E1042" s="10" t="s">
        <v>14</v>
      </c>
      <c r="F1042" s="6">
        <v>0.0</v>
      </c>
      <c r="G1042" s="7">
        <v>0.0</v>
      </c>
      <c r="H1042" s="12">
        <v>0.0</v>
      </c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>
      <c r="A1043" s="11" t="s">
        <v>12</v>
      </c>
      <c r="B1043" s="11" t="s">
        <v>13</v>
      </c>
      <c r="C1043" s="9" t="s">
        <v>836</v>
      </c>
      <c r="D1043" s="9" t="s">
        <v>16</v>
      </c>
      <c r="E1043" s="9" t="s">
        <v>17</v>
      </c>
      <c r="F1043" s="6">
        <v>0.0</v>
      </c>
      <c r="G1043" s="7">
        <v>0.0</v>
      </c>
      <c r="H1043" s="12">
        <v>0.0</v>
      </c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>
      <c r="A1044" s="11" t="s">
        <v>12</v>
      </c>
      <c r="B1044" s="11" t="s">
        <v>13</v>
      </c>
      <c r="C1044" s="9" t="s">
        <v>837</v>
      </c>
      <c r="D1044" s="9" t="s">
        <v>16</v>
      </c>
      <c r="E1044" s="10" t="s">
        <v>14</v>
      </c>
      <c r="F1044" s="6">
        <v>0.0</v>
      </c>
      <c r="G1044" s="7">
        <v>0.0</v>
      </c>
      <c r="H1044" s="12">
        <v>0.0</v>
      </c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>
      <c r="A1045" s="11" t="s">
        <v>12</v>
      </c>
      <c r="B1045" s="11" t="s">
        <v>8</v>
      </c>
      <c r="C1045" s="9" t="s">
        <v>838</v>
      </c>
      <c r="D1045" s="9" t="s">
        <v>16</v>
      </c>
      <c r="E1045" s="9" t="s">
        <v>49</v>
      </c>
      <c r="F1045" s="6">
        <v>1.0</v>
      </c>
      <c r="G1045" s="7">
        <v>0.0</v>
      </c>
      <c r="H1045" s="12">
        <v>0.0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>
      <c r="A1046" s="11" t="s">
        <v>12</v>
      </c>
      <c r="B1046" s="11" t="s">
        <v>13</v>
      </c>
      <c r="C1046" s="9" t="s">
        <v>839</v>
      </c>
      <c r="D1046" s="9" t="s">
        <v>16</v>
      </c>
      <c r="E1046" s="10" t="s">
        <v>14</v>
      </c>
      <c r="F1046" s="6">
        <v>0.0</v>
      </c>
      <c r="G1046" s="7">
        <v>0.0</v>
      </c>
      <c r="H1046" s="12">
        <v>0.0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>
      <c r="A1047" s="11" t="s">
        <v>12</v>
      </c>
      <c r="B1047" s="11" t="s">
        <v>13</v>
      </c>
      <c r="C1047" s="9" t="s">
        <v>840</v>
      </c>
      <c r="D1047" s="9" t="s">
        <v>16</v>
      </c>
      <c r="E1047" s="10" t="s">
        <v>14</v>
      </c>
      <c r="F1047" s="6">
        <v>0.0</v>
      </c>
      <c r="G1047" s="7">
        <v>0.0</v>
      </c>
      <c r="H1047" s="12">
        <v>0.0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>
      <c r="A1048" s="11" t="s">
        <v>12</v>
      </c>
      <c r="B1048" s="11" t="s">
        <v>13</v>
      </c>
      <c r="C1048" s="9" t="s">
        <v>841</v>
      </c>
      <c r="D1048" s="9" t="s">
        <v>16</v>
      </c>
      <c r="E1048" s="10" t="s">
        <v>14</v>
      </c>
      <c r="F1048" s="6">
        <v>0.0</v>
      </c>
      <c r="G1048" s="7">
        <v>0.0</v>
      </c>
      <c r="H1048" s="12">
        <v>0.0</v>
      </c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>
      <c r="A1049" s="11" t="s">
        <v>12</v>
      </c>
      <c r="B1049" s="11" t="s">
        <v>13</v>
      </c>
      <c r="C1049" s="9" t="s">
        <v>842</v>
      </c>
      <c r="D1049" s="9" t="s">
        <v>16</v>
      </c>
      <c r="E1049" s="10" t="s">
        <v>14</v>
      </c>
      <c r="F1049" s="6">
        <v>258000.0</v>
      </c>
      <c r="G1049" s="7">
        <v>0.0</v>
      </c>
      <c r="H1049" s="12" t="str">
        <f t="array" ref="H1049">XLOOKUP(C:C,Sheet3!A:A,Sheet3!B:B)</f>
        <v>#N/A</v>
      </c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>
      <c r="A1050" s="11" t="s">
        <v>12</v>
      </c>
      <c r="B1050" s="11" t="s">
        <v>8</v>
      </c>
      <c r="C1050" s="9" t="s">
        <v>842</v>
      </c>
      <c r="D1050" s="9" t="s">
        <v>16</v>
      </c>
      <c r="E1050" s="9" t="s">
        <v>11</v>
      </c>
      <c r="F1050" s="6">
        <v>650000.0</v>
      </c>
      <c r="G1050" s="7">
        <v>0.0</v>
      </c>
      <c r="H1050" s="12" t="str">
        <f t="array" ref="H1050">XLOOKUP(C:C,Sheet3!A:A,Sheet3!B:B)</f>
        <v>#N/A</v>
      </c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>
      <c r="A1051" s="11" t="s">
        <v>12</v>
      </c>
      <c r="B1051" s="11" t="s">
        <v>13</v>
      </c>
      <c r="C1051" s="9" t="s">
        <v>843</v>
      </c>
      <c r="D1051" s="9" t="s">
        <v>16</v>
      </c>
      <c r="E1051" s="10" t="s">
        <v>14</v>
      </c>
      <c r="F1051" s="6">
        <v>16000.0</v>
      </c>
      <c r="G1051" s="7">
        <v>0.0</v>
      </c>
      <c r="H1051" s="12">
        <v>0.0</v>
      </c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>
      <c r="A1052" s="11" t="s">
        <v>12</v>
      </c>
      <c r="B1052" s="11" t="s">
        <v>13</v>
      </c>
      <c r="C1052" s="9" t="s">
        <v>844</v>
      </c>
      <c r="D1052" s="9" t="s">
        <v>16</v>
      </c>
      <c r="E1052" s="10" t="s">
        <v>14</v>
      </c>
      <c r="F1052" s="6">
        <v>0.0</v>
      </c>
      <c r="G1052" s="7">
        <v>0.0</v>
      </c>
      <c r="H1052" s="12">
        <v>0.0</v>
      </c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>
      <c r="A1053" s="11" t="s">
        <v>7</v>
      </c>
      <c r="B1053" s="11" t="s">
        <v>8</v>
      </c>
      <c r="C1053" s="9" t="s">
        <v>845</v>
      </c>
      <c r="D1053" s="9" t="s">
        <v>10</v>
      </c>
      <c r="E1053" s="9" t="s">
        <v>49</v>
      </c>
      <c r="F1053" s="6">
        <v>700000.0</v>
      </c>
      <c r="G1053" s="7">
        <v>0.0</v>
      </c>
      <c r="H1053" s="12" t="str">
        <f t="array" ref="H1053">XLOOKUP(C:C,Sheet3!A:A,Sheet3!B:B)</f>
        <v>#N/A</v>
      </c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>
      <c r="A1054" s="11" t="s">
        <v>12</v>
      </c>
      <c r="B1054" s="11" t="s">
        <v>13</v>
      </c>
      <c r="C1054" s="9" t="s">
        <v>845</v>
      </c>
      <c r="D1054" s="9" t="s">
        <v>10</v>
      </c>
      <c r="E1054" s="10" t="s">
        <v>14</v>
      </c>
      <c r="F1054" s="6">
        <v>0.0</v>
      </c>
      <c r="G1054" s="7">
        <v>0.0</v>
      </c>
      <c r="H1054" s="12" t="str">
        <f t="array" ref="H1054">XLOOKUP(C:C,Sheet3!A:A,Sheet3!B:B)</f>
        <v>#N/A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>
      <c r="A1055" s="11" t="s">
        <v>12</v>
      </c>
      <c r="B1055" s="11" t="s">
        <v>8</v>
      </c>
      <c r="C1055" s="9" t="s">
        <v>845</v>
      </c>
      <c r="D1055" s="9" t="s">
        <v>10</v>
      </c>
      <c r="E1055" s="9" t="s">
        <v>49</v>
      </c>
      <c r="F1055" s="6">
        <v>700000.0</v>
      </c>
      <c r="G1055" s="7">
        <v>0.0</v>
      </c>
      <c r="H1055" s="12" t="str">
        <f t="array" ref="H1055">XLOOKUP(C:C,Sheet3!A:A,Sheet3!B:B)</f>
        <v>#N/A</v>
      </c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>
      <c r="A1056" s="11" t="s">
        <v>7</v>
      </c>
      <c r="B1056" s="11" t="s">
        <v>8</v>
      </c>
      <c r="C1056" s="9" t="s">
        <v>846</v>
      </c>
      <c r="D1056" s="9" t="s">
        <v>10</v>
      </c>
      <c r="E1056" s="10" t="s">
        <v>14</v>
      </c>
      <c r="F1056" s="6">
        <v>0.0</v>
      </c>
      <c r="G1056" s="7">
        <v>0.0</v>
      </c>
      <c r="H1056" s="12" t="str">
        <f t="array" ref="H1056">XLOOKUP(C:C,Sheet3!A:A,Sheet3!B:B)</f>
        <v>#N/A</v>
      </c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>
      <c r="A1057" s="11" t="s">
        <v>12</v>
      </c>
      <c r="B1057" s="11" t="s">
        <v>13</v>
      </c>
      <c r="C1057" s="9" t="s">
        <v>846</v>
      </c>
      <c r="D1057" s="9" t="s">
        <v>10</v>
      </c>
      <c r="E1057" s="9" t="s">
        <v>17</v>
      </c>
      <c r="F1057" s="6">
        <v>0.0</v>
      </c>
      <c r="G1057" s="7">
        <v>0.0</v>
      </c>
      <c r="H1057" s="12" t="str">
        <f t="array" ref="H1057">XLOOKUP(C:C,Sheet3!A:A,Sheet3!B:B)</f>
        <v>#N/A</v>
      </c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>
      <c r="A1058" s="11" t="s">
        <v>12</v>
      </c>
      <c r="B1058" s="11" t="s">
        <v>8</v>
      </c>
      <c r="C1058" s="9" t="s">
        <v>846</v>
      </c>
      <c r="D1058" s="9" t="s">
        <v>10</v>
      </c>
      <c r="E1058" s="9" t="s">
        <v>11</v>
      </c>
      <c r="F1058" s="6">
        <v>1034000.0</v>
      </c>
      <c r="G1058" s="7">
        <v>-80805.0</v>
      </c>
      <c r="H1058" s="12" t="str">
        <f t="array" ref="H1058">XLOOKUP(C:C,Sheet3!A:A,Sheet3!B:B)</f>
        <v>#N/A</v>
      </c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>
      <c r="A1059" s="11" t="s">
        <v>7</v>
      </c>
      <c r="B1059" s="11" t="s">
        <v>13</v>
      </c>
      <c r="C1059" s="9" t="s">
        <v>847</v>
      </c>
      <c r="D1059" s="9" t="s">
        <v>88</v>
      </c>
      <c r="E1059" s="9" t="s">
        <v>223</v>
      </c>
      <c r="F1059" s="6">
        <v>1700000.0</v>
      </c>
      <c r="G1059" s="7">
        <v>0.0</v>
      </c>
      <c r="H1059" s="12" t="str">
        <f t="array" ref="H1059">XLOOKUP(C:C,Sheet3!A:A,Sheet3!B:B)</f>
        <v>#N/A</v>
      </c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>
      <c r="A1060" s="11" t="s">
        <v>12</v>
      </c>
      <c r="B1060" s="11" t="s">
        <v>13</v>
      </c>
      <c r="C1060" s="9" t="s">
        <v>847</v>
      </c>
      <c r="D1060" s="9" t="s">
        <v>88</v>
      </c>
      <c r="E1060" s="9" t="s">
        <v>96</v>
      </c>
      <c r="F1060" s="6">
        <v>1700000.0</v>
      </c>
      <c r="G1060" s="7">
        <v>688706.0</v>
      </c>
      <c r="H1060" s="12" t="str">
        <f t="array" ref="H1060">XLOOKUP(C:C,Sheet3!A:A,Sheet3!B:B)</f>
        <v>#N/A</v>
      </c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>
      <c r="A1061" s="11" t="s">
        <v>12</v>
      </c>
      <c r="B1061" s="11" t="s">
        <v>13</v>
      </c>
      <c r="C1061" s="9" t="s">
        <v>848</v>
      </c>
      <c r="D1061" s="9" t="s">
        <v>88</v>
      </c>
      <c r="E1061" s="9" t="s">
        <v>96</v>
      </c>
      <c r="F1061" s="6">
        <v>0.0</v>
      </c>
      <c r="G1061" s="7">
        <v>933200.0</v>
      </c>
      <c r="H1061" s="12" t="str">
        <f t="array" ref="H1061">XLOOKUP(C:C,Sheet3!A:A,Sheet3!B:B)</f>
        <v>#N/A</v>
      </c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>
      <c r="A1062" s="11" t="s">
        <v>12</v>
      </c>
      <c r="B1062" s="11" t="s">
        <v>8</v>
      </c>
      <c r="C1062" s="9" t="s">
        <v>849</v>
      </c>
      <c r="D1062" s="9" t="s">
        <v>48</v>
      </c>
      <c r="E1062" s="9" t="s">
        <v>17</v>
      </c>
      <c r="F1062" s="6">
        <v>4000000.0</v>
      </c>
      <c r="G1062" s="7">
        <v>1586100.8</v>
      </c>
      <c r="H1062" s="12" t="str">
        <f t="array" ref="H1062">XLOOKUP(C:C,Sheet3!A:A,Sheet3!B:B)</f>
        <v>#N/A</v>
      </c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</row>
    <row r="1063">
      <c r="A1063" s="11" t="s">
        <v>12</v>
      </c>
      <c r="B1063" s="11" t="s">
        <v>13</v>
      </c>
      <c r="C1063" s="9" t="s">
        <v>849</v>
      </c>
      <c r="D1063" s="9" t="s">
        <v>48</v>
      </c>
      <c r="E1063" s="10" t="s">
        <v>14</v>
      </c>
      <c r="F1063" s="6">
        <v>2013000.0</v>
      </c>
      <c r="G1063" s="7">
        <v>0.0</v>
      </c>
      <c r="H1063" s="12" t="str">
        <f t="array" ref="H1063">XLOOKUP(C:C,Sheet3!A:A,Sheet3!B:B)</f>
        <v>#N/A</v>
      </c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</row>
    <row r="1064">
      <c r="A1064" s="11" t="s">
        <v>12</v>
      </c>
      <c r="B1064" s="11" t="s">
        <v>13</v>
      </c>
      <c r="C1064" s="9" t="s">
        <v>850</v>
      </c>
      <c r="D1064" s="9" t="s">
        <v>16</v>
      </c>
      <c r="E1064" s="9" t="s">
        <v>11</v>
      </c>
      <c r="F1064" s="6">
        <v>200000.0</v>
      </c>
      <c r="G1064" s="7">
        <v>0.0</v>
      </c>
      <c r="H1064" s="12" t="str">
        <f t="array" ref="H1064">XLOOKUP(C:C,Sheet3!A:A,Sheet3!B:B)</f>
        <v>#N/A</v>
      </c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</row>
    <row r="1065">
      <c r="A1065" s="11" t="s">
        <v>12</v>
      </c>
      <c r="B1065" s="11" t="s">
        <v>13</v>
      </c>
      <c r="C1065" s="9" t="s">
        <v>851</v>
      </c>
      <c r="D1065" s="9" t="s">
        <v>16</v>
      </c>
      <c r="E1065" s="10" t="s">
        <v>14</v>
      </c>
      <c r="F1065" s="6">
        <v>0.0</v>
      </c>
      <c r="G1065" s="7">
        <v>0.0</v>
      </c>
      <c r="H1065" s="12">
        <v>0.0</v>
      </c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</row>
    <row r="1066">
      <c r="A1066" s="11" t="s">
        <v>7</v>
      </c>
      <c r="B1066" s="11" t="s">
        <v>13</v>
      </c>
      <c r="C1066" s="9" t="s">
        <v>852</v>
      </c>
      <c r="D1066" s="9" t="s">
        <v>88</v>
      </c>
      <c r="E1066" s="9" t="s">
        <v>49</v>
      </c>
      <c r="F1066" s="6">
        <v>200000.0</v>
      </c>
      <c r="G1066" s="7">
        <v>0.0</v>
      </c>
      <c r="H1066" s="12" t="str">
        <f t="array" ref="H1066">XLOOKUP(C:C,Sheet3!A:A,Sheet3!B:B)</f>
        <v>#N/A</v>
      </c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</row>
    <row r="1067">
      <c r="A1067" s="11" t="s">
        <v>12</v>
      </c>
      <c r="B1067" s="11" t="s">
        <v>13</v>
      </c>
      <c r="C1067" s="9" t="s">
        <v>852</v>
      </c>
      <c r="D1067" s="9" t="s">
        <v>88</v>
      </c>
      <c r="E1067" s="9" t="s">
        <v>49</v>
      </c>
      <c r="F1067" s="6">
        <v>1000000.0</v>
      </c>
      <c r="G1067" s="7">
        <v>229273.5</v>
      </c>
      <c r="H1067" s="12" t="str">
        <f t="array" ref="H1067">XLOOKUP(C:C,Sheet3!A:A,Sheet3!B:B)</f>
        <v>#N/A</v>
      </c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</row>
    <row r="1068">
      <c r="A1068" s="11" t="s">
        <v>12</v>
      </c>
      <c r="B1068" s="11" t="s">
        <v>13</v>
      </c>
      <c r="C1068" s="9" t="s">
        <v>853</v>
      </c>
      <c r="D1068" s="9" t="s">
        <v>16</v>
      </c>
      <c r="E1068" s="10" t="s">
        <v>14</v>
      </c>
      <c r="F1068" s="6">
        <v>0.0</v>
      </c>
      <c r="G1068" s="7">
        <v>0.0</v>
      </c>
      <c r="H1068" s="12">
        <v>0.0</v>
      </c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</row>
    <row r="1069">
      <c r="A1069" s="11" t="s">
        <v>12</v>
      </c>
      <c r="B1069" s="11" t="s">
        <v>13</v>
      </c>
      <c r="C1069" s="9" t="s">
        <v>854</v>
      </c>
      <c r="D1069" s="9" t="s">
        <v>16</v>
      </c>
      <c r="E1069" s="10" t="s">
        <v>14</v>
      </c>
      <c r="F1069" s="6">
        <v>0.0</v>
      </c>
      <c r="G1069" s="7">
        <v>0.0</v>
      </c>
      <c r="H1069" s="12">
        <v>0.0</v>
      </c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</row>
    <row r="1070">
      <c r="A1070" s="11" t="s">
        <v>7</v>
      </c>
      <c r="B1070" s="11" t="s">
        <v>13</v>
      </c>
      <c r="C1070" s="9" t="s">
        <v>855</v>
      </c>
      <c r="D1070" s="9" t="s">
        <v>32</v>
      </c>
      <c r="E1070" s="9" t="s">
        <v>144</v>
      </c>
      <c r="F1070" s="6">
        <v>1150000.0</v>
      </c>
      <c r="G1070" s="7">
        <v>0.0</v>
      </c>
      <c r="H1070" s="12" t="str">
        <f t="array" ref="H1070">XLOOKUP(C:C,Sheet3!A:A,Sheet3!B:B)</f>
        <v>#N/A</v>
      </c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</row>
    <row r="1071">
      <c r="A1071" s="11" t="s">
        <v>12</v>
      </c>
      <c r="B1071" s="11" t="s">
        <v>13</v>
      </c>
      <c r="C1071" s="9" t="s">
        <v>855</v>
      </c>
      <c r="D1071" s="9" t="s">
        <v>32</v>
      </c>
      <c r="E1071" s="9" t="s">
        <v>49</v>
      </c>
      <c r="F1071" s="6">
        <v>1150000.0</v>
      </c>
      <c r="G1071" s="7">
        <v>427160.0</v>
      </c>
      <c r="H1071" s="12" t="str">
        <f t="array" ref="H1071">XLOOKUP(C:C,Sheet3!A:A,Sheet3!B:B)</f>
        <v>#N/A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</row>
    <row r="1072">
      <c r="A1072" s="11" t="s">
        <v>7</v>
      </c>
      <c r="B1072" s="11" t="s">
        <v>13</v>
      </c>
      <c r="C1072" s="9" t="s">
        <v>856</v>
      </c>
      <c r="D1072" s="9" t="s">
        <v>88</v>
      </c>
      <c r="E1072" s="9" t="s">
        <v>23</v>
      </c>
      <c r="F1072" s="6">
        <v>1350000.0</v>
      </c>
      <c r="G1072" s="7">
        <v>0.0</v>
      </c>
      <c r="H1072" s="12" t="str">
        <f t="array" ref="H1072">XLOOKUP(C:C,Sheet3!A:A,Sheet3!B:B)</f>
        <v>#N/A</v>
      </c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</row>
    <row r="1073">
      <c r="A1073" s="11" t="s">
        <v>12</v>
      </c>
      <c r="B1073" s="11" t="s">
        <v>13</v>
      </c>
      <c r="C1073" s="9" t="s">
        <v>856</v>
      </c>
      <c r="D1073" s="9" t="s">
        <v>88</v>
      </c>
      <c r="E1073" s="9" t="s">
        <v>17</v>
      </c>
      <c r="F1073" s="6">
        <v>1350000.0</v>
      </c>
      <c r="G1073" s="7">
        <v>799691.0</v>
      </c>
      <c r="H1073" s="12" t="str">
        <f t="array" ref="H1073">XLOOKUP(C:C,Sheet3!A:A,Sheet3!B:B)</f>
        <v>#N/A</v>
      </c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</row>
    <row r="1074">
      <c r="A1074" s="11" t="s">
        <v>12</v>
      </c>
      <c r="B1074" s="11" t="s">
        <v>13</v>
      </c>
      <c r="C1074" s="9" t="s">
        <v>857</v>
      </c>
      <c r="D1074" s="9" t="s">
        <v>16</v>
      </c>
      <c r="E1074" s="10" t="s">
        <v>14</v>
      </c>
      <c r="F1074" s="6">
        <v>0.0</v>
      </c>
      <c r="G1074" s="7">
        <v>0.0</v>
      </c>
      <c r="H1074" s="12">
        <v>0.0</v>
      </c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</row>
    <row r="1075">
      <c r="A1075" s="11" t="s">
        <v>12</v>
      </c>
      <c r="B1075" s="11" t="s">
        <v>13</v>
      </c>
      <c r="C1075" s="9" t="s">
        <v>858</v>
      </c>
      <c r="D1075" s="9" t="s">
        <v>16</v>
      </c>
      <c r="E1075" s="10" t="s">
        <v>14</v>
      </c>
      <c r="F1075" s="6">
        <v>354000.0</v>
      </c>
      <c r="G1075" s="7">
        <v>0.0</v>
      </c>
      <c r="H1075" s="12">
        <v>0.0</v>
      </c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</row>
    <row r="1076">
      <c r="A1076" s="11" t="s">
        <v>12</v>
      </c>
      <c r="B1076" s="11" t="s">
        <v>13</v>
      </c>
      <c r="C1076" s="9" t="s">
        <v>859</v>
      </c>
      <c r="D1076" s="9" t="s">
        <v>26</v>
      </c>
      <c r="E1076" s="10" t="s">
        <v>14</v>
      </c>
      <c r="F1076" s="6">
        <v>0.0</v>
      </c>
      <c r="G1076" s="7">
        <v>798696.0</v>
      </c>
      <c r="H1076" s="12" t="str">
        <f t="array" ref="H1076">XLOOKUP(C:C,Sheet3!A:A,Sheet3!B:B)</f>
        <v>#N/A</v>
      </c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</row>
    <row r="1077">
      <c r="A1077" s="11" t="s">
        <v>12</v>
      </c>
      <c r="B1077" s="11" t="s">
        <v>8</v>
      </c>
      <c r="C1077" s="9" t="s">
        <v>860</v>
      </c>
      <c r="D1077" s="9" t="s">
        <v>16</v>
      </c>
      <c r="E1077" s="10" t="s">
        <v>14</v>
      </c>
      <c r="F1077" s="6">
        <v>300000.0</v>
      </c>
      <c r="G1077" s="7">
        <v>0.0</v>
      </c>
      <c r="H1077" s="12" t="str">
        <f t="array" ref="H1077">XLOOKUP(C:C,Sheet3!A:A,Sheet3!B:B)</f>
        <v>#N/A</v>
      </c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</row>
    <row r="1078">
      <c r="A1078" s="11" t="s">
        <v>12</v>
      </c>
      <c r="B1078" s="11" t="s">
        <v>13</v>
      </c>
      <c r="C1078" s="9" t="s">
        <v>861</v>
      </c>
      <c r="D1078" s="9" t="s">
        <v>16</v>
      </c>
      <c r="E1078" s="10" t="s">
        <v>14</v>
      </c>
      <c r="F1078" s="6">
        <v>0.0</v>
      </c>
      <c r="G1078" s="7">
        <v>0.0</v>
      </c>
      <c r="H1078" s="12">
        <v>0.0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</row>
    <row r="1079">
      <c r="A1079" s="11" t="s">
        <v>12</v>
      </c>
      <c r="B1079" s="11" t="s">
        <v>8</v>
      </c>
      <c r="C1079" s="9" t="s">
        <v>861</v>
      </c>
      <c r="D1079" s="9" t="s">
        <v>16</v>
      </c>
      <c r="E1079" s="9" t="s">
        <v>49</v>
      </c>
      <c r="F1079" s="6">
        <v>0.0</v>
      </c>
      <c r="G1079" s="7">
        <v>0.0</v>
      </c>
      <c r="H1079" s="12">
        <v>0.0</v>
      </c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</row>
    <row r="1080">
      <c r="A1080" s="11" t="s">
        <v>12</v>
      </c>
      <c r="B1080" s="11" t="s">
        <v>13</v>
      </c>
      <c r="C1080" s="9" t="s">
        <v>862</v>
      </c>
      <c r="D1080" s="9" t="s">
        <v>16</v>
      </c>
      <c r="E1080" s="10" t="s">
        <v>14</v>
      </c>
      <c r="F1080" s="6">
        <v>0.0</v>
      </c>
      <c r="G1080" s="7">
        <v>0.0</v>
      </c>
      <c r="H1080" s="12">
        <v>0.0</v>
      </c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</row>
    <row r="1081">
      <c r="A1081" s="11" t="s">
        <v>7</v>
      </c>
      <c r="B1081" s="11" t="s">
        <v>13</v>
      </c>
      <c r="C1081" s="9" t="s">
        <v>863</v>
      </c>
      <c r="D1081" s="9" t="s">
        <v>32</v>
      </c>
      <c r="E1081" s="9" t="s">
        <v>49</v>
      </c>
      <c r="F1081" s="6">
        <v>700000.0</v>
      </c>
      <c r="G1081" s="7">
        <v>0.0</v>
      </c>
      <c r="H1081" s="12" t="str">
        <f t="array" ref="H1081">XLOOKUP(C:C,Sheet3!A:A,Sheet3!B:B)</f>
        <v>#N/A</v>
      </c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</row>
    <row r="1082">
      <c r="A1082" s="11" t="s">
        <v>12</v>
      </c>
      <c r="B1082" s="11" t="s">
        <v>13</v>
      </c>
      <c r="C1082" s="9" t="s">
        <v>863</v>
      </c>
      <c r="D1082" s="9" t="s">
        <v>32</v>
      </c>
      <c r="E1082" s="9" t="s">
        <v>49</v>
      </c>
      <c r="F1082" s="6">
        <v>1500000.0</v>
      </c>
      <c r="G1082" s="7">
        <v>0.0</v>
      </c>
      <c r="H1082" s="12" t="str">
        <f t="array" ref="H1082">XLOOKUP(C:C,Sheet3!A:A,Sheet3!B:B)</f>
        <v>#N/A</v>
      </c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</row>
    <row r="1083">
      <c r="A1083" s="11" t="s">
        <v>12</v>
      </c>
      <c r="B1083" s="11" t="s">
        <v>13</v>
      </c>
      <c r="C1083" s="9" t="s">
        <v>864</v>
      </c>
      <c r="D1083" s="9" t="s">
        <v>32</v>
      </c>
      <c r="E1083" s="10" t="s">
        <v>14</v>
      </c>
      <c r="F1083" s="6">
        <v>0.0</v>
      </c>
      <c r="G1083" s="7">
        <v>0.0</v>
      </c>
      <c r="H1083" s="12" t="str">
        <f t="array" ref="H1083">XLOOKUP(C:C,Sheet3!A:A,Sheet3!B:B)</f>
        <v>#N/A</v>
      </c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</row>
    <row r="1084">
      <c r="A1084" s="11" t="s">
        <v>12</v>
      </c>
      <c r="B1084" s="11" t="s">
        <v>13</v>
      </c>
      <c r="C1084" s="9" t="s">
        <v>865</v>
      </c>
      <c r="D1084" s="9" t="s">
        <v>16</v>
      </c>
      <c r="E1084" s="10" t="s">
        <v>14</v>
      </c>
      <c r="F1084" s="6">
        <v>0.0</v>
      </c>
      <c r="G1084" s="7">
        <v>0.0</v>
      </c>
      <c r="H1084" s="12">
        <v>0.0</v>
      </c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</row>
    <row r="1085">
      <c r="A1085" s="11" t="s">
        <v>12</v>
      </c>
      <c r="B1085" s="11" t="s">
        <v>13</v>
      </c>
      <c r="C1085" s="9" t="s">
        <v>866</v>
      </c>
      <c r="D1085" s="9" t="s">
        <v>32</v>
      </c>
      <c r="E1085" s="9" t="s">
        <v>17</v>
      </c>
      <c r="F1085" s="6">
        <v>1250000.0</v>
      </c>
      <c r="G1085" s="7">
        <v>1325743.0</v>
      </c>
      <c r="H1085" s="12" t="str">
        <f t="array" ref="H1085">XLOOKUP(C:C,Sheet3!A:A,Sheet3!B:B)</f>
        <v>#N/A</v>
      </c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</row>
    <row r="1086">
      <c r="A1086" s="11" t="s">
        <v>12</v>
      </c>
      <c r="B1086" s="11" t="s">
        <v>13</v>
      </c>
      <c r="C1086" s="9" t="s">
        <v>867</v>
      </c>
      <c r="D1086" s="9" t="s">
        <v>16</v>
      </c>
      <c r="E1086" s="10" t="s">
        <v>14</v>
      </c>
      <c r="F1086" s="6">
        <v>0.0</v>
      </c>
      <c r="G1086" s="7">
        <v>0.0</v>
      </c>
      <c r="H1086" s="12">
        <v>0.0</v>
      </c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>
      <c r="A1087" s="11" t="s">
        <v>12</v>
      </c>
      <c r="B1087" s="11" t="s">
        <v>13</v>
      </c>
      <c r="C1087" s="9" t="s">
        <v>868</v>
      </c>
      <c r="D1087" s="9" t="s">
        <v>26</v>
      </c>
      <c r="E1087" s="10" t="s">
        <v>14</v>
      </c>
      <c r="F1087" s="6">
        <v>1.25E7</v>
      </c>
      <c r="G1087" s="7">
        <v>-100000.0</v>
      </c>
      <c r="H1087" s="12" t="str">
        <f t="array" ref="H1087">XLOOKUP(C:C,Sheet3!A:A,Sheet3!B:B)</f>
        <v>#N/A</v>
      </c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</row>
    <row r="1088">
      <c r="A1088" s="11" t="s">
        <v>12</v>
      </c>
      <c r="B1088" s="11" t="s">
        <v>13</v>
      </c>
      <c r="C1088" s="9" t="s">
        <v>869</v>
      </c>
      <c r="D1088" s="9" t="s">
        <v>26</v>
      </c>
      <c r="E1088" s="10" t="s">
        <v>14</v>
      </c>
      <c r="F1088" s="6">
        <v>0.0</v>
      </c>
      <c r="G1088" s="7">
        <v>0.0</v>
      </c>
      <c r="H1088" s="12" t="str">
        <f t="array" ref="H1088">XLOOKUP(C:C,Sheet3!A:A,Sheet3!B:B)</f>
        <v>#N/A</v>
      </c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</row>
    <row r="1089">
      <c r="A1089" s="11" t="s">
        <v>7</v>
      </c>
      <c r="B1089" s="11" t="s">
        <v>13</v>
      </c>
      <c r="C1089" s="9" t="s">
        <v>870</v>
      </c>
      <c r="D1089" s="9" t="s">
        <v>32</v>
      </c>
      <c r="E1089" s="9" t="s">
        <v>23</v>
      </c>
      <c r="F1089" s="6">
        <v>3000000.0</v>
      </c>
      <c r="G1089" s="7">
        <v>0.0</v>
      </c>
      <c r="H1089" s="12" t="str">
        <f t="array" ref="H1089">XLOOKUP(C:C,Sheet3!A:A,Sheet3!B:B)</f>
        <v>#N/A</v>
      </c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</row>
    <row r="1090">
      <c r="A1090" s="11" t="s">
        <v>12</v>
      </c>
      <c r="B1090" s="11" t="s">
        <v>13</v>
      </c>
      <c r="C1090" s="9" t="s">
        <v>870</v>
      </c>
      <c r="D1090" s="9" t="s">
        <v>32</v>
      </c>
      <c r="E1090" s="9" t="s">
        <v>17</v>
      </c>
      <c r="F1090" s="6">
        <v>3000000.0</v>
      </c>
      <c r="G1090" s="7">
        <v>1218219.0</v>
      </c>
      <c r="H1090" s="12" t="str">
        <f t="array" ref="H1090">XLOOKUP(C:C,Sheet3!A:A,Sheet3!B:B)</f>
        <v>#N/A</v>
      </c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</row>
    <row r="1091">
      <c r="A1091" s="11" t="s">
        <v>12</v>
      </c>
      <c r="B1091" s="11" t="s">
        <v>13</v>
      </c>
      <c r="C1091" s="9" t="s">
        <v>871</v>
      </c>
      <c r="D1091" s="9" t="s">
        <v>32</v>
      </c>
      <c r="E1091" s="10" t="s">
        <v>14</v>
      </c>
      <c r="F1091" s="6">
        <v>0.0</v>
      </c>
      <c r="G1091" s="7">
        <v>5683320.0</v>
      </c>
      <c r="H1091" s="12" t="str">
        <f t="array" ref="H1091">XLOOKUP(C:C,Sheet3!A:A,Sheet3!B:B)</f>
        <v>#N/A</v>
      </c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</row>
    <row r="1092">
      <c r="A1092" s="11" t="s">
        <v>12</v>
      </c>
      <c r="B1092" s="11" t="s">
        <v>13</v>
      </c>
      <c r="C1092" s="9" t="s">
        <v>872</v>
      </c>
      <c r="D1092" s="9" t="s">
        <v>88</v>
      </c>
      <c r="E1092" s="9" t="s">
        <v>96</v>
      </c>
      <c r="F1092" s="6">
        <v>5400000.0</v>
      </c>
      <c r="G1092" s="7">
        <v>2048134.0</v>
      </c>
      <c r="H1092" s="12" t="str">
        <f t="array" ref="H1092">XLOOKUP(C:C,Sheet3!A:A,Sheet3!B:B)</f>
        <v>#N/A</v>
      </c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</row>
    <row r="1093">
      <c r="A1093" s="11" t="s">
        <v>12</v>
      </c>
      <c r="B1093" s="11" t="s">
        <v>13</v>
      </c>
      <c r="C1093" s="9" t="s">
        <v>873</v>
      </c>
      <c r="D1093" s="9" t="s">
        <v>83</v>
      </c>
      <c r="E1093" s="9" t="s">
        <v>49</v>
      </c>
      <c r="F1093" s="6">
        <v>1100000.0</v>
      </c>
      <c r="G1093" s="7">
        <v>957655.75</v>
      </c>
      <c r="H1093" s="12" t="str">
        <f t="array" ref="H1093">XLOOKUP(C:C,Sheet3!A:A,Sheet3!B:B)</f>
        <v>#N/A</v>
      </c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</row>
    <row r="1094">
      <c r="A1094" s="11" t="s">
        <v>7</v>
      </c>
      <c r="B1094" s="11" t="s">
        <v>13</v>
      </c>
      <c r="C1094" s="9" t="s">
        <v>874</v>
      </c>
      <c r="D1094" s="9" t="s">
        <v>32</v>
      </c>
      <c r="E1094" s="9" t="s">
        <v>17</v>
      </c>
      <c r="F1094" s="6">
        <v>100000.0</v>
      </c>
      <c r="G1094" s="7">
        <v>0.0</v>
      </c>
      <c r="H1094" s="12" t="str">
        <f t="array" ref="H1094">XLOOKUP(C:C,Sheet3!A:A,Sheet3!B:B)</f>
        <v>#N/A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</row>
    <row r="1095">
      <c r="A1095" s="11" t="s">
        <v>12</v>
      </c>
      <c r="B1095" s="11" t="s">
        <v>13</v>
      </c>
      <c r="C1095" s="9" t="s">
        <v>874</v>
      </c>
      <c r="D1095" s="9" t="s">
        <v>32</v>
      </c>
      <c r="E1095" s="9" t="s">
        <v>17</v>
      </c>
      <c r="F1095" s="6">
        <v>6350000.0</v>
      </c>
      <c r="G1095" s="7">
        <v>9919282.6</v>
      </c>
      <c r="H1095" s="12" t="str">
        <f t="array" ref="H1095">XLOOKUP(C:C,Sheet3!A:A,Sheet3!B:B)</f>
        <v>#N/A</v>
      </c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</row>
    <row r="1096">
      <c r="A1096" s="11" t="s">
        <v>12</v>
      </c>
      <c r="B1096" s="11" t="s">
        <v>13</v>
      </c>
      <c r="C1096" s="9" t="s">
        <v>875</v>
      </c>
      <c r="D1096" s="9" t="s">
        <v>16</v>
      </c>
      <c r="E1096" s="9" t="s">
        <v>74</v>
      </c>
      <c r="F1096" s="6">
        <v>0.0</v>
      </c>
      <c r="G1096" s="7">
        <v>225000.0</v>
      </c>
      <c r="H1096" s="12">
        <v>0.0</v>
      </c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</row>
    <row r="1097">
      <c r="A1097" s="11" t="s">
        <v>12</v>
      </c>
      <c r="B1097" s="11" t="s">
        <v>13</v>
      </c>
      <c r="C1097" s="9" t="s">
        <v>876</v>
      </c>
      <c r="D1097" s="9" t="s">
        <v>16</v>
      </c>
      <c r="E1097" s="10" t="s">
        <v>14</v>
      </c>
      <c r="F1097" s="6">
        <v>0.0</v>
      </c>
      <c r="G1097" s="7">
        <v>0.0</v>
      </c>
      <c r="H1097" s="12">
        <v>0.0</v>
      </c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</row>
    <row r="1098">
      <c r="A1098" s="11" t="s">
        <v>12</v>
      </c>
      <c r="B1098" s="11" t="s">
        <v>13</v>
      </c>
      <c r="C1098" s="9" t="s">
        <v>877</v>
      </c>
      <c r="D1098" s="9" t="s">
        <v>16</v>
      </c>
      <c r="E1098" s="10" t="s">
        <v>14</v>
      </c>
      <c r="F1098" s="6">
        <v>0.0</v>
      </c>
      <c r="G1098" s="7">
        <v>0.0</v>
      </c>
      <c r="H1098" s="12">
        <v>0.0</v>
      </c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</row>
    <row r="1099">
      <c r="A1099" s="11" t="s">
        <v>12</v>
      </c>
      <c r="B1099" s="11" t="s">
        <v>13</v>
      </c>
      <c r="C1099" s="9" t="s">
        <v>878</v>
      </c>
      <c r="D1099" s="9" t="s">
        <v>16</v>
      </c>
      <c r="E1099" s="10" t="s">
        <v>14</v>
      </c>
      <c r="F1099" s="6">
        <v>0.0</v>
      </c>
      <c r="G1099" s="7">
        <v>0.0</v>
      </c>
      <c r="H1099" s="12">
        <v>0.0</v>
      </c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</row>
    <row r="1100">
      <c r="A1100" s="11" t="s">
        <v>12</v>
      </c>
      <c r="B1100" s="11" t="s">
        <v>13</v>
      </c>
      <c r="C1100" s="9" t="s">
        <v>879</v>
      </c>
      <c r="D1100" s="9" t="s">
        <v>16</v>
      </c>
      <c r="E1100" s="10" t="s">
        <v>14</v>
      </c>
      <c r="F1100" s="6">
        <v>0.0</v>
      </c>
      <c r="G1100" s="7">
        <v>0.0</v>
      </c>
      <c r="H1100" s="12">
        <v>0.0</v>
      </c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</row>
    <row r="1101">
      <c r="A1101" s="11" t="s">
        <v>12</v>
      </c>
      <c r="B1101" s="11" t="s">
        <v>13</v>
      </c>
      <c r="C1101" s="9" t="s">
        <v>880</v>
      </c>
      <c r="D1101" s="9" t="s">
        <v>16</v>
      </c>
      <c r="E1101" s="10" t="s">
        <v>14</v>
      </c>
      <c r="F1101" s="6">
        <v>0.0</v>
      </c>
      <c r="G1101" s="7">
        <v>0.0</v>
      </c>
      <c r="H1101" s="12">
        <v>0.0</v>
      </c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</row>
    <row r="1102">
      <c r="A1102" s="11" t="s">
        <v>12</v>
      </c>
      <c r="B1102" s="11" t="s">
        <v>13</v>
      </c>
      <c r="C1102" s="9" t="s">
        <v>881</v>
      </c>
      <c r="D1102" s="9" t="s">
        <v>16</v>
      </c>
      <c r="E1102" s="10" t="s">
        <v>14</v>
      </c>
      <c r="F1102" s="6">
        <v>815000.0</v>
      </c>
      <c r="G1102" s="7">
        <v>0.0</v>
      </c>
      <c r="H1102" s="12">
        <v>0.0</v>
      </c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</row>
    <row r="1103">
      <c r="A1103" s="11" t="s">
        <v>12</v>
      </c>
      <c r="B1103" s="11" t="s">
        <v>13</v>
      </c>
      <c r="C1103" s="9" t="s">
        <v>882</v>
      </c>
      <c r="D1103" s="9" t="s">
        <v>19</v>
      </c>
      <c r="E1103" s="9" t="s">
        <v>17</v>
      </c>
      <c r="F1103" s="6">
        <v>1500000.0</v>
      </c>
      <c r="G1103" s="7">
        <v>504804.0</v>
      </c>
      <c r="H1103" s="12" t="str">
        <f t="array" ref="H1103">XLOOKUP(C:C,Sheet3!A:A,Sheet3!B:B)</f>
        <v>#N/A</v>
      </c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</row>
    <row r="1104">
      <c r="A1104" s="11" t="s">
        <v>12</v>
      </c>
      <c r="B1104" s="11" t="s">
        <v>13</v>
      </c>
      <c r="C1104" s="9" t="s">
        <v>883</v>
      </c>
      <c r="D1104" s="9" t="s">
        <v>16</v>
      </c>
      <c r="E1104" s="10" t="s">
        <v>14</v>
      </c>
      <c r="F1104" s="6">
        <v>0.0</v>
      </c>
      <c r="G1104" s="7">
        <v>0.0</v>
      </c>
      <c r="H1104" s="12">
        <v>0.0</v>
      </c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</row>
    <row r="1105">
      <c r="A1105" s="11" t="s">
        <v>12</v>
      </c>
      <c r="B1105" s="11" t="s">
        <v>13</v>
      </c>
      <c r="C1105" s="9" t="s">
        <v>884</v>
      </c>
      <c r="D1105" s="9" t="s">
        <v>16</v>
      </c>
      <c r="E1105" s="10" t="s">
        <v>14</v>
      </c>
      <c r="F1105" s="6">
        <v>0.0</v>
      </c>
      <c r="G1105" s="7">
        <v>0.0</v>
      </c>
      <c r="H1105" s="12">
        <v>0.0</v>
      </c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</row>
    <row r="1106">
      <c r="A1106" s="11" t="s">
        <v>12</v>
      </c>
      <c r="B1106" s="11" t="s">
        <v>13</v>
      </c>
      <c r="C1106" s="9" t="s">
        <v>885</v>
      </c>
      <c r="D1106" s="9" t="s">
        <v>16</v>
      </c>
      <c r="E1106" s="9" t="s">
        <v>11</v>
      </c>
      <c r="F1106" s="6">
        <v>175000.0</v>
      </c>
      <c r="G1106" s="7">
        <v>0.0</v>
      </c>
      <c r="H1106" s="12" t="str">
        <f t="array" ref="H1106">XLOOKUP(C:C,Sheet3!A:A,Sheet3!B:B)</f>
        <v>#N/A</v>
      </c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</row>
    <row r="1107">
      <c r="A1107" s="11" t="s">
        <v>12</v>
      </c>
      <c r="B1107" s="11" t="s">
        <v>13</v>
      </c>
      <c r="C1107" s="9" t="s">
        <v>886</v>
      </c>
      <c r="D1107" s="9" t="s">
        <v>16</v>
      </c>
      <c r="E1107" s="10" t="s">
        <v>14</v>
      </c>
      <c r="F1107" s="6">
        <v>0.0</v>
      </c>
      <c r="G1107" s="7">
        <v>0.0</v>
      </c>
      <c r="H1107" s="12">
        <v>0.0</v>
      </c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</row>
    <row r="1108">
      <c r="A1108" s="11" t="s">
        <v>12</v>
      </c>
      <c r="B1108" s="11" t="s">
        <v>13</v>
      </c>
      <c r="C1108" s="9" t="s">
        <v>887</v>
      </c>
      <c r="D1108" s="9" t="s">
        <v>16</v>
      </c>
      <c r="E1108" s="9" t="s">
        <v>33</v>
      </c>
      <c r="F1108" s="6">
        <v>0.0</v>
      </c>
      <c r="G1108" s="7">
        <v>0.0</v>
      </c>
      <c r="H1108" s="12">
        <v>0.0</v>
      </c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</row>
    <row r="1109">
      <c r="A1109" s="11" t="s">
        <v>7</v>
      </c>
      <c r="B1109" s="11" t="s">
        <v>13</v>
      </c>
      <c r="C1109" s="9" t="s">
        <v>888</v>
      </c>
      <c r="D1109" s="9" t="s">
        <v>32</v>
      </c>
      <c r="E1109" s="9" t="s">
        <v>23</v>
      </c>
      <c r="F1109" s="6">
        <v>2800000.0</v>
      </c>
      <c r="G1109" s="7">
        <v>0.0</v>
      </c>
      <c r="H1109" s="12" t="str">
        <f t="array" ref="H1109">XLOOKUP(C:C,Sheet3!A:A,Sheet3!B:B)</f>
        <v>#N/A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</row>
    <row r="1110">
      <c r="A1110" s="11" t="s">
        <v>12</v>
      </c>
      <c r="B1110" s="11" t="s">
        <v>13</v>
      </c>
      <c r="C1110" s="9" t="s">
        <v>888</v>
      </c>
      <c r="D1110" s="9" t="s">
        <v>32</v>
      </c>
      <c r="E1110" s="9" t="s">
        <v>17</v>
      </c>
      <c r="F1110" s="6">
        <v>2800000.0</v>
      </c>
      <c r="G1110" s="7">
        <v>1899977.5</v>
      </c>
      <c r="H1110" s="12" t="str">
        <f t="array" ref="H1110">XLOOKUP(C:C,Sheet3!A:A,Sheet3!B:B)</f>
        <v>#N/A</v>
      </c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</row>
    <row r="1111">
      <c r="A1111" s="11" t="s">
        <v>12</v>
      </c>
      <c r="B1111" s="11" t="s">
        <v>13</v>
      </c>
      <c r="C1111" s="9" t="s">
        <v>889</v>
      </c>
      <c r="D1111" s="9" t="s">
        <v>16</v>
      </c>
      <c r="E1111" s="10" t="s">
        <v>14</v>
      </c>
      <c r="F1111" s="6">
        <v>0.0</v>
      </c>
      <c r="G1111" s="7">
        <v>0.0</v>
      </c>
      <c r="H1111" s="12">
        <v>0.0</v>
      </c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</row>
    <row r="1112">
      <c r="A1112" s="11" t="s">
        <v>12</v>
      </c>
      <c r="B1112" s="11" t="s">
        <v>13</v>
      </c>
      <c r="C1112" s="9" t="s">
        <v>890</v>
      </c>
      <c r="D1112" s="9" t="s">
        <v>16</v>
      </c>
      <c r="E1112" s="9" t="s">
        <v>49</v>
      </c>
      <c r="F1112" s="6">
        <v>193000.0</v>
      </c>
      <c r="G1112" s="7">
        <v>0.0</v>
      </c>
      <c r="H1112" s="12" t="str">
        <f t="array" ref="H1112">XLOOKUP(C:C,Sheet3!A:A,Sheet3!B:B)</f>
        <v>#N/A</v>
      </c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</row>
    <row r="1113">
      <c r="A1113" s="11" t="s">
        <v>12</v>
      </c>
      <c r="B1113" s="11" t="s">
        <v>13</v>
      </c>
      <c r="C1113" s="9" t="s">
        <v>891</v>
      </c>
      <c r="D1113" s="9" t="s">
        <v>16</v>
      </c>
      <c r="E1113" s="10" t="s">
        <v>14</v>
      </c>
      <c r="F1113" s="6">
        <v>0.0</v>
      </c>
      <c r="G1113" s="7">
        <v>0.0</v>
      </c>
      <c r="H1113" s="12">
        <v>0.0</v>
      </c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</row>
    <row r="1114">
      <c r="A1114" s="11" t="s">
        <v>12</v>
      </c>
      <c r="B1114" s="11" t="s">
        <v>8</v>
      </c>
      <c r="C1114" s="9" t="s">
        <v>892</v>
      </c>
      <c r="D1114" s="9" t="s">
        <v>48</v>
      </c>
      <c r="E1114" s="9" t="s">
        <v>11</v>
      </c>
      <c r="F1114" s="6">
        <v>425000.0</v>
      </c>
      <c r="G1114" s="7">
        <v>385857.0</v>
      </c>
      <c r="H1114" s="12" t="str">
        <f t="array" ref="H1114">XLOOKUP(C:C,Sheet3!A:A,Sheet3!B:B)</f>
        <v>#N/A</v>
      </c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</row>
    <row r="1115">
      <c r="A1115" s="11" t="s">
        <v>12</v>
      </c>
      <c r="B1115" s="11" t="s">
        <v>13</v>
      </c>
      <c r="C1115" s="9" t="s">
        <v>892</v>
      </c>
      <c r="D1115" s="9" t="s">
        <v>48</v>
      </c>
      <c r="E1115" s="10" t="s">
        <v>14</v>
      </c>
      <c r="F1115" s="6">
        <v>400000.0</v>
      </c>
      <c r="G1115" s="7">
        <v>0.0</v>
      </c>
      <c r="H1115" s="12" t="str">
        <f t="array" ref="H1115">XLOOKUP(C:C,Sheet3!A:A,Sheet3!B:B)</f>
        <v>#N/A</v>
      </c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</row>
    <row r="1116">
      <c r="A1116" s="11" t="s">
        <v>12</v>
      </c>
      <c r="B1116" s="11" t="s">
        <v>13</v>
      </c>
      <c r="C1116" s="9" t="s">
        <v>893</v>
      </c>
      <c r="D1116" s="9" t="s">
        <v>16</v>
      </c>
      <c r="E1116" s="10" t="s">
        <v>14</v>
      </c>
      <c r="F1116" s="6">
        <v>0.0</v>
      </c>
      <c r="G1116" s="7">
        <v>0.0</v>
      </c>
      <c r="H1116" s="12">
        <v>0.0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</row>
    <row r="1117">
      <c r="A1117" s="11" t="s">
        <v>12</v>
      </c>
      <c r="B1117" s="11" t="s">
        <v>13</v>
      </c>
      <c r="C1117" s="9" t="s">
        <v>894</v>
      </c>
      <c r="D1117" s="9" t="s">
        <v>16</v>
      </c>
      <c r="E1117" s="10" t="s">
        <v>14</v>
      </c>
      <c r="F1117" s="6">
        <v>0.0</v>
      </c>
      <c r="G1117" s="7">
        <v>0.0</v>
      </c>
      <c r="H1117" s="12">
        <v>0.0</v>
      </c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</row>
    <row r="1118">
      <c r="A1118" s="11" t="s">
        <v>12</v>
      </c>
      <c r="B1118" s="11" t="s">
        <v>13</v>
      </c>
      <c r="C1118" s="9" t="s">
        <v>895</v>
      </c>
      <c r="D1118" s="9" t="s">
        <v>32</v>
      </c>
      <c r="E1118" s="9" t="s">
        <v>49</v>
      </c>
      <c r="F1118" s="6">
        <v>100000.0</v>
      </c>
      <c r="G1118" s="7">
        <v>0.0</v>
      </c>
      <c r="H1118" s="12" t="str">
        <f t="array" ref="H1118">XLOOKUP(C:C,Sheet3!A:A,Sheet3!B:B)</f>
        <v>#N/A</v>
      </c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</row>
    <row r="1119">
      <c r="A1119" s="11" t="s">
        <v>12</v>
      </c>
      <c r="B1119" s="11" t="s">
        <v>13</v>
      </c>
      <c r="C1119" s="9" t="s">
        <v>896</v>
      </c>
      <c r="D1119" s="9" t="s">
        <v>32</v>
      </c>
      <c r="E1119" s="10" t="s">
        <v>14</v>
      </c>
      <c r="F1119" s="6">
        <v>0.0</v>
      </c>
      <c r="G1119" s="7">
        <v>0.0</v>
      </c>
      <c r="H1119" s="12" t="str">
        <f t="array" ref="H1119">XLOOKUP(C:C,Sheet3!A:A,Sheet3!B:B)</f>
        <v>#N/A</v>
      </c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</row>
    <row r="1120">
      <c r="A1120" s="11" t="s">
        <v>12</v>
      </c>
      <c r="B1120" s="11" t="s">
        <v>13</v>
      </c>
      <c r="C1120" s="9" t="s">
        <v>897</v>
      </c>
      <c r="D1120" s="9" t="s">
        <v>16</v>
      </c>
      <c r="E1120" s="10" t="s">
        <v>14</v>
      </c>
      <c r="F1120" s="6">
        <v>0.0</v>
      </c>
      <c r="G1120" s="7">
        <v>0.0</v>
      </c>
      <c r="H1120" s="12">
        <v>0.0</v>
      </c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</row>
    <row r="1121">
      <c r="A1121" s="11" t="s">
        <v>12</v>
      </c>
      <c r="B1121" s="11" t="s">
        <v>13</v>
      </c>
      <c r="C1121" s="9" t="s">
        <v>898</v>
      </c>
      <c r="D1121" s="9" t="s">
        <v>32</v>
      </c>
      <c r="E1121" s="9" t="s">
        <v>49</v>
      </c>
      <c r="F1121" s="6">
        <v>400000.0</v>
      </c>
      <c r="G1121" s="7">
        <v>111746.0</v>
      </c>
      <c r="H1121" s="12" t="str">
        <f t="array" ref="H1121">XLOOKUP(C:C,Sheet3!A:A,Sheet3!B:B)</f>
        <v>#N/A</v>
      </c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</row>
    <row r="1122">
      <c r="A1122" s="11" t="s">
        <v>12</v>
      </c>
      <c r="B1122" s="11" t="s">
        <v>13</v>
      </c>
      <c r="C1122" s="9" t="s">
        <v>899</v>
      </c>
      <c r="D1122" s="9" t="s">
        <v>16</v>
      </c>
      <c r="E1122" s="10" t="s">
        <v>14</v>
      </c>
      <c r="F1122" s="6">
        <v>0.0</v>
      </c>
      <c r="G1122" s="7">
        <v>0.0</v>
      </c>
      <c r="H1122" s="12">
        <v>0.0</v>
      </c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</row>
    <row r="1123">
      <c r="A1123" s="11" t="s">
        <v>12</v>
      </c>
      <c r="B1123" s="11" t="s">
        <v>13</v>
      </c>
      <c r="C1123" s="9" t="s">
        <v>900</v>
      </c>
      <c r="D1123" s="9" t="s">
        <v>16</v>
      </c>
      <c r="E1123" s="10" t="s">
        <v>14</v>
      </c>
      <c r="F1123" s="6">
        <v>0.0</v>
      </c>
      <c r="G1123" s="7">
        <v>0.0</v>
      </c>
      <c r="H1123" s="12">
        <v>0.0</v>
      </c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</row>
    <row r="1124">
      <c r="A1124" s="11" t="s">
        <v>12</v>
      </c>
      <c r="B1124" s="11" t="s">
        <v>13</v>
      </c>
      <c r="C1124" s="9" t="s">
        <v>901</v>
      </c>
      <c r="D1124" s="9" t="s">
        <v>16</v>
      </c>
      <c r="E1124" s="10" t="s">
        <v>14</v>
      </c>
      <c r="F1124" s="6">
        <v>537000.0</v>
      </c>
      <c r="G1124" s="7">
        <v>472.0</v>
      </c>
      <c r="H1124" s="12" t="str">
        <f t="array" ref="H1124">XLOOKUP(C:C,Sheet3!A:A,Sheet3!B:B)</f>
        <v>#N/A</v>
      </c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</row>
    <row r="1125">
      <c r="A1125" s="11" t="s">
        <v>12</v>
      </c>
      <c r="B1125" s="11" t="s">
        <v>13</v>
      </c>
      <c r="C1125" s="9" t="s">
        <v>902</v>
      </c>
      <c r="D1125" s="9" t="s">
        <v>16</v>
      </c>
      <c r="E1125" s="9" t="s">
        <v>49</v>
      </c>
      <c r="F1125" s="6">
        <v>602000.0</v>
      </c>
      <c r="G1125" s="7">
        <v>976981.0</v>
      </c>
      <c r="H1125" s="12" t="str">
        <f t="array" ref="H1125">XLOOKUP(C:C,Sheet3!A:A,Sheet3!B:B)</f>
        <v>#N/A</v>
      </c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</row>
    <row r="1126">
      <c r="A1126" s="11" t="s">
        <v>12</v>
      </c>
      <c r="B1126" s="11" t="s">
        <v>13</v>
      </c>
      <c r="C1126" s="9" t="s">
        <v>903</v>
      </c>
      <c r="D1126" s="9" t="s">
        <v>16</v>
      </c>
      <c r="E1126" s="10" t="s">
        <v>14</v>
      </c>
      <c r="F1126" s="6">
        <v>0.0</v>
      </c>
      <c r="G1126" s="7">
        <v>0.0</v>
      </c>
      <c r="H1126" s="12">
        <v>0.0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</row>
    <row r="1127">
      <c r="A1127" s="11" t="s">
        <v>12</v>
      </c>
      <c r="B1127" s="11" t="s">
        <v>8</v>
      </c>
      <c r="C1127" s="9" t="s">
        <v>904</v>
      </c>
      <c r="D1127" s="9" t="s">
        <v>48</v>
      </c>
      <c r="E1127" s="10" t="s">
        <v>14</v>
      </c>
      <c r="F1127" s="6">
        <v>1000000.0</v>
      </c>
      <c r="G1127" s="7">
        <v>258774.0</v>
      </c>
      <c r="H1127" s="12" t="str">
        <f t="array" ref="H1127">XLOOKUP(C:C,Sheet3!A:A,Sheet3!B:B)</f>
        <v>#N/A</v>
      </c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</row>
    <row r="1128">
      <c r="A1128" s="11" t="s">
        <v>12</v>
      </c>
      <c r="B1128" s="11" t="s">
        <v>13</v>
      </c>
      <c r="C1128" s="9" t="s">
        <v>905</v>
      </c>
      <c r="D1128" s="9" t="s">
        <v>37</v>
      </c>
      <c r="E1128" s="10" t="s">
        <v>14</v>
      </c>
      <c r="F1128" s="6">
        <v>1390000.0</v>
      </c>
      <c r="G1128" s="7">
        <v>2171200.0</v>
      </c>
      <c r="H1128" s="12" t="str">
        <f t="array" ref="H1128">XLOOKUP(C:C,Sheet3!A:A,Sheet3!B:B)</f>
        <v>#N/A</v>
      </c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</row>
    <row r="1129">
      <c r="A1129" s="11" t="s">
        <v>12</v>
      </c>
      <c r="B1129" s="11" t="s">
        <v>13</v>
      </c>
      <c r="C1129" s="9" t="s">
        <v>906</v>
      </c>
      <c r="D1129" s="9" t="s">
        <v>16</v>
      </c>
      <c r="E1129" s="10" t="s">
        <v>14</v>
      </c>
      <c r="F1129" s="6">
        <v>0.0</v>
      </c>
      <c r="G1129" s="7">
        <v>0.0</v>
      </c>
      <c r="H1129" s="12">
        <v>0.0</v>
      </c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</row>
    <row r="1130">
      <c r="A1130" s="11" t="s">
        <v>12</v>
      </c>
      <c r="B1130" s="11" t="s">
        <v>13</v>
      </c>
      <c r="C1130" s="9" t="s">
        <v>907</v>
      </c>
      <c r="D1130" s="9" t="s">
        <v>16</v>
      </c>
      <c r="E1130" s="10" t="s">
        <v>14</v>
      </c>
      <c r="F1130" s="6">
        <v>32000.0</v>
      </c>
      <c r="G1130" s="7">
        <v>0.0</v>
      </c>
      <c r="H1130" s="12">
        <v>0.0</v>
      </c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</row>
    <row r="1131">
      <c r="A1131" s="11" t="s">
        <v>7</v>
      </c>
      <c r="B1131" s="11" t="s">
        <v>13</v>
      </c>
      <c r="C1131" s="9" t="s">
        <v>908</v>
      </c>
      <c r="D1131" s="9" t="s">
        <v>32</v>
      </c>
      <c r="E1131" s="9" t="s">
        <v>223</v>
      </c>
      <c r="F1131" s="6">
        <v>5700000.0</v>
      </c>
      <c r="G1131" s="7">
        <v>0.0</v>
      </c>
      <c r="H1131" s="12" t="str">
        <f t="array" ref="H1131">XLOOKUP(C:C,Sheet3!A:A,Sheet3!B:B)</f>
        <v>#N/A</v>
      </c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</row>
    <row r="1132">
      <c r="A1132" s="11" t="s">
        <v>12</v>
      </c>
      <c r="B1132" s="11" t="s">
        <v>13</v>
      </c>
      <c r="C1132" s="9" t="s">
        <v>908</v>
      </c>
      <c r="D1132" s="9" t="s">
        <v>32</v>
      </c>
      <c r="E1132" s="9" t="s">
        <v>96</v>
      </c>
      <c r="F1132" s="6">
        <v>5700000.0</v>
      </c>
      <c r="G1132" s="7">
        <v>6793455.0</v>
      </c>
      <c r="H1132" s="12" t="str">
        <f t="array" ref="H1132">XLOOKUP(C:C,Sheet3!A:A,Sheet3!B:B)</f>
        <v>#N/A</v>
      </c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</row>
    <row r="1133">
      <c r="A1133" s="11" t="s">
        <v>12</v>
      </c>
      <c r="B1133" s="11" t="s">
        <v>13</v>
      </c>
      <c r="C1133" s="9" t="s">
        <v>909</v>
      </c>
      <c r="D1133" s="9" t="s">
        <v>32</v>
      </c>
      <c r="E1133" s="9" t="s">
        <v>33</v>
      </c>
      <c r="F1133" s="6">
        <v>0.0</v>
      </c>
      <c r="G1133" s="7">
        <v>3500000.0</v>
      </c>
      <c r="H1133" s="12" t="str">
        <f t="array" ref="H1133">XLOOKUP(C:C,Sheet3!A:A,Sheet3!B:B)</f>
        <v>#N/A</v>
      </c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</row>
    <row r="1134">
      <c r="A1134" s="11" t="s">
        <v>12</v>
      </c>
      <c r="B1134" s="11" t="s">
        <v>13</v>
      </c>
      <c r="C1134" s="9" t="s">
        <v>910</v>
      </c>
      <c r="D1134" s="9" t="s">
        <v>16</v>
      </c>
      <c r="E1134" s="10" t="s">
        <v>14</v>
      </c>
      <c r="F1134" s="6">
        <v>0.0</v>
      </c>
      <c r="G1134" s="7">
        <v>0.0</v>
      </c>
      <c r="H1134" s="12">
        <v>0.0</v>
      </c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</row>
    <row r="1135">
      <c r="A1135" s="11" t="s">
        <v>7</v>
      </c>
      <c r="B1135" s="11" t="s">
        <v>13</v>
      </c>
      <c r="C1135" s="9" t="s">
        <v>911</v>
      </c>
      <c r="D1135" s="9" t="s">
        <v>88</v>
      </c>
      <c r="E1135" s="9" t="s">
        <v>23</v>
      </c>
      <c r="F1135" s="6">
        <v>2300000.0</v>
      </c>
      <c r="G1135" s="7">
        <v>0.0</v>
      </c>
      <c r="H1135" s="12" t="str">
        <f t="array" ref="H1135">XLOOKUP(C:C,Sheet3!A:A,Sheet3!B:B)</f>
        <v>#N/A</v>
      </c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</row>
    <row r="1136">
      <c r="A1136" s="11" t="s">
        <v>12</v>
      </c>
      <c r="B1136" s="11" t="s">
        <v>13</v>
      </c>
      <c r="C1136" s="9" t="s">
        <v>911</v>
      </c>
      <c r="D1136" s="9" t="s">
        <v>88</v>
      </c>
      <c r="E1136" s="9" t="s">
        <v>17</v>
      </c>
      <c r="F1136" s="6">
        <v>2340000.0</v>
      </c>
      <c r="G1136" s="7">
        <v>372635.0</v>
      </c>
      <c r="H1136" s="12" t="str">
        <f t="array" ref="H1136">XLOOKUP(C:C,Sheet3!A:A,Sheet3!B:B)</f>
        <v>#N/A</v>
      </c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</row>
    <row r="1137">
      <c r="A1137" s="11" t="s">
        <v>12</v>
      </c>
      <c r="B1137" s="11" t="s">
        <v>13</v>
      </c>
      <c r="C1137" s="9" t="s">
        <v>912</v>
      </c>
      <c r="D1137" s="9" t="s">
        <v>88</v>
      </c>
      <c r="E1137" s="10" t="s">
        <v>14</v>
      </c>
      <c r="F1137" s="6">
        <v>0.0</v>
      </c>
      <c r="G1137" s="7">
        <v>3524000.0</v>
      </c>
      <c r="H1137" s="12" t="str">
        <f t="array" ref="H1137">XLOOKUP(C:C,Sheet3!A:A,Sheet3!B:B)</f>
        <v>#N/A</v>
      </c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</row>
    <row r="1138">
      <c r="A1138" s="11" t="s">
        <v>12</v>
      </c>
      <c r="B1138" s="11" t="s">
        <v>8</v>
      </c>
      <c r="C1138" s="9" t="s">
        <v>913</v>
      </c>
      <c r="D1138" s="9" t="s">
        <v>10</v>
      </c>
      <c r="E1138" s="9" t="s">
        <v>49</v>
      </c>
      <c r="F1138" s="6">
        <v>90000.0</v>
      </c>
      <c r="G1138" s="7">
        <v>87296.0</v>
      </c>
      <c r="H1138" s="12" t="str">
        <f t="array" ref="H1138">XLOOKUP(C:C,Sheet3!A:A,Sheet3!B:B)</f>
        <v>#N/A</v>
      </c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</row>
    <row r="1139">
      <c r="A1139" s="11" t="s">
        <v>12</v>
      </c>
      <c r="B1139" s="11" t="s">
        <v>13</v>
      </c>
      <c r="C1139" s="9" t="s">
        <v>914</v>
      </c>
      <c r="D1139" s="9" t="s">
        <v>16</v>
      </c>
      <c r="E1139" s="10" t="s">
        <v>14</v>
      </c>
      <c r="F1139" s="6">
        <v>0.0</v>
      </c>
      <c r="G1139" s="7">
        <v>0.0</v>
      </c>
      <c r="H1139" s="12">
        <v>0.0</v>
      </c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</row>
    <row r="1140">
      <c r="A1140" s="11" t="s">
        <v>7</v>
      </c>
      <c r="B1140" s="11" t="s">
        <v>8</v>
      </c>
      <c r="C1140" s="9" t="s">
        <v>915</v>
      </c>
      <c r="D1140" s="9" t="s">
        <v>48</v>
      </c>
      <c r="E1140" s="9" t="s">
        <v>11</v>
      </c>
      <c r="F1140" s="6">
        <v>300000.0</v>
      </c>
      <c r="G1140" s="7">
        <v>0.0</v>
      </c>
      <c r="H1140" s="12" t="str">
        <f t="array" ref="H1140">XLOOKUP(C:C,Sheet3!A:A,Sheet3!B:B)</f>
        <v>#N/A</v>
      </c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</row>
    <row r="1141">
      <c r="A1141" s="11" t="s">
        <v>12</v>
      </c>
      <c r="B1141" s="11" t="s">
        <v>8</v>
      </c>
      <c r="C1141" s="9" t="s">
        <v>915</v>
      </c>
      <c r="D1141" s="9" t="s">
        <v>48</v>
      </c>
      <c r="E1141" s="9" t="s">
        <v>11</v>
      </c>
      <c r="F1141" s="6">
        <v>2200000.0</v>
      </c>
      <c r="G1141" s="7">
        <v>0.0</v>
      </c>
      <c r="H1141" s="12" t="str">
        <f t="array" ref="H1141">XLOOKUP(C:C,Sheet3!A:A,Sheet3!B:B)</f>
        <v>#N/A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</row>
    <row r="1142">
      <c r="A1142" s="11" t="s">
        <v>12</v>
      </c>
      <c r="B1142" s="11" t="s">
        <v>13</v>
      </c>
      <c r="C1142" s="9" t="s">
        <v>916</v>
      </c>
      <c r="D1142" s="9" t="s">
        <v>48</v>
      </c>
      <c r="E1142" s="10" t="s">
        <v>14</v>
      </c>
      <c r="F1142" s="6">
        <v>3600000.0</v>
      </c>
      <c r="G1142" s="7">
        <v>6750000.0</v>
      </c>
      <c r="H1142" s="12" t="str">
        <f t="array" ref="H1142">XLOOKUP(C:C,Sheet3!A:A,Sheet3!B:B)</f>
        <v>#N/A</v>
      </c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</row>
    <row r="1143">
      <c r="A1143" s="11" t="s">
        <v>12</v>
      </c>
      <c r="B1143" s="11" t="s">
        <v>13</v>
      </c>
      <c r="C1143" s="9" t="s">
        <v>917</v>
      </c>
      <c r="D1143" s="9" t="s">
        <v>16</v>
      </c>
      <c r="E1143" s="10" t="s">
        <v>14</v>
      </c>
      <c r="F1143" s="6">
        <v>0.0</v>
      </c>
      <c r="G1143" s="7">
        <v>0.0</v>
      </c>
      <c r="H1143" s="12">
        <v>0.0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</row>
    <row r="1144">
      <c r="A1144" s="11" t="s">
        <v>7</v>
      </c>
      <c r="B1144" s="11" t="s">
        <v>13</v>
      </c>
      <c r="C1144" s="9" t="s">
        <v>918</v>
      </c>
      <c r="D1144" s="9" t="s">
        <v>88</v>
      </c>
      <c r="E1144" s="9" t="s">
        <v>919</v>
      </c>
      <c r="F1144" s="6">
        <v>3650000.0</v>
      </c>
      <c r="G1144" s="7">
        <v>0.0</v>
      </c>
      <c r="H1144" s="12" t="str">
        <f t="array" ref="H1144">XLOOKUP(C:C,Sheet3!A:A,Sheet3!B:B)</f>
        <v>#N/A</v>
      </c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</row>
    <row r="1145">
      <c r="A1145" s="11" t="s">
        <v>12</v>
      </c>
      <c r="B1145" s="11" t="s">
        <v>13</v>
      </c>
      <c r="C1145" s="9" t="s">
        <v>918</v>
      </c>
      <c r="D1145" s="9" t="s">
        <v>88</v>
      </c>
      <c r="E1145" s="9" t="s">
        <v>920</v>
      </c>
      <c r="F1145" s="6">
        <v>3650000.0</v>
      </c>
      <c r="G1145" s="7">
        <v>1713281.0</v>
      </c>
      <c r="H1145" s="12" t="str">
        <f t="array" ref="H1145">XLOOKUP(C:C,Sheet3!A:A,Sheet3!B:B)</f>
        <v>#N/A</v>
      </c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</row>
    <row r="1146">
      <c r="A1146" s="11" t="s">
        <v>12</v>
      </c>
      <c r="B1146" s="11" t="s">
        <v>13</v>
      </c>
      <c r="C1146" s="9" t="s">
        <v>921</v>
      </c>
      <c r="D1146" s="9" t="s">
        <v>16</v>
      </c>
      <c r="E1146" s="10" t="s">
        <v>14</v>
      </c>
      <c r="F1146" s="6">
        <v>0.0</v>
      </c>
      <c r="G1146" s="7">
        <v>0.0</v>
      </c>
      <c r="H1146" s="12">
        <v>0.0</v>
      </c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</row>
    <row r="1147">
      <c r="A1147" s="11" t="s">
        <v>12</v>
      </c>
      <c r="B1147" s="11" t="s">
        <v>8</v>
      </c>
      <c r="C1147" s="9" t="s">
        <v>922</v>
      </c>
      <c r="D1147" s="9" t="s">
        <v>48</v>
      </c>
      <c r="E1147" s="9" t="s">
        <v>49</v>
      </c>
      <c r="F1147" s="6">
        <v>1000000.0</v>
      </c>
      <c r="G1147" s="7">
        <v>301195.0</v>
      </c>
      <c r="H1147" s="12" t="str">
        <f t="array" ref="H1147">XLOOKUP(C:C,Sheet3!A:A,Sheet3!B:B)</f>
        <v>#N/A</v>
      </c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</row>
    <row r="1148">
      <c r="A1148" s="11" t="s">
        <v>12</v>
      </c>
      <c r="B1148" s="11" t="s">
        <v>13</v>
      </c>
      <c r="C1148" s="9" t="s">
        <v>922</v>
      </c>
      <c r="D1148" s="9" t="s">
        <v>48</v>
      </c>
      <c r="E1148" s="9" t="s">
        <v>33</v>
      </c>
      <c r="F1148" s="6">
        <v>1500000.0</v>
      </c>
      <c r="G1148" s="7">
        <v>0.0</v>
      </c>
      <c r="H1148" s="12" t="str">
        <f t="array" ref="H1148">XLOOKUP(C:C,Sheet3!A:A,Sheet3!B:B)</f>
        <v>#N/A</v>
      </c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</row>
    <row r="1149">
      <c r="A1149" s="11" t="s">
        <v>7</v>
      </c>
      <c r="B1149" s="11" t="s">
        <v>13</v>
      </c>
      <c r="C1149" s="9" t="s">
        <v>923</v>
      </c>
      <c r="D1149" s="9" t="s">
        <v>32</v>
      </c>
      <c r="E1149" s="9" t="s">
        <v>89</v>
      </c>
      <c r="F1149" s="6">
        <v>3000000.0</v>
      </c>
      <c r="G1149" s="7">
        <v>0.0</v>
      </c>
      <c r="H1149" s="12" t="str">
        <f t="array" ref="H1149">XLOOKUP(C:C,Sheet3!A:A,Sheet3!B:B)</f>
        <v>#N/A</v>
      </c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</row>
    <row r="1150">
      <c r="A1150" s="11" t="s">
        <v>12</v>
      </c>
      <c r="B1150" s="11" t="s">
        <v>13</v>
      </c>
      <c r="C1150" s="9" t="s">
        <v>923</v>
      </c>
      <c r="D1150" s="9" t="s">
        <v>32</v>
      </c>
      <c r="E1150" s="9" t="s">
        <v>55</v>
      </c>
      <c r="F1150" s="6">
        <v>3000000.0</v>
      </c>
      <c r="G1150" s="7">
        <v>590420.0</v>
      </c>
      <c r="H1150" s="12" t="str">
        <f t="array" ref="H1150">XLOOKUP(C:C,Sheet3!A:A,Sheet3!B:B)</f>
        <v>#N/A</v>
      </c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</row>
    <row r="1151">
      <c r="A1151" s="11" t="s">
        <v>12</v>
      </c>
      <c r="B1151" s="11" t="s">
        <v>13</v>
      </c>
      <c r="C1151" s="9" t="s">
        <v>924</v>
      </c>
      <c r="D1151" s="9" t="s">
        <v>16</v>
      </c>
      <c r="E1151" s="10" t="s">
        <v>14</v>
      </c>
      <c r="F1151" s="6">
        <v>0.0</v>
      </c>
      <c r="G1151" s="7">
        <v>0.0</v>
      </c>
      <c r="H1151" s="12">
        <v>0.0</v>
      </c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</row>
    <row r="1152">
      <c r="A1152" s="11" t="s">
        <v>7</v>
      </c>
      <c r="B1152" s="11" t="s">
        <v>8</v>
      </c>
      <c r="C1152" s="9" t="s">
        <v>925</v>
      </c>
      <c r="D1152" s="9" t="s">
        <v>10</v>
      </c>
      <c r="E1152" s="9" t="s">
        <v>49</v>
      </c>
      <c r="F1152" s="6">
        <v>165000.0</v>
      </c>
      <c r="G1152" s="7">
        <v>0.0</v>
      </c>
      <c r="H1152" s="12" t="str">
        <f t="array" ref="H1152">XLOOKUP(C:C,Sheet3!A:A,Sheet3!B:B)</f>
        <v>#N/A</v>
      </c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</row>
    <row r="1153">
      <c r="A1153" s="11" t="s">
        <v>12</v>
      </c>
      <c r="B1153" s="11" t="s">
        <v>13</v>
      </c>
      <c r="C1153" s="9" t="s">
        <v>925</v>
      </c>
      <c r="D1153" s="9" t="s">
        <v>10</v>
      </c>
      <c r="E1153" s="10" t="s">
        <v>14</v>
      </c>
      <c r="F1153" s="6">
        <v>203000.0</v>
      </c>
      <c r="G1153" s="7">
        <v>0.0</v>
      </c>
      <c r="H1153" s="12" t="str">
        <f t="array" ref="H1153">XLOOKUP(C:C,Sheet3!A:A,Sheet3!B:B)</f>
        <v>#N/A</v>
      </c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</row>
    <row r="1154">
      <c r="A1154" s="11" t="s">
        <v>12</v>
      </c>
      <c r="B1154" s="11" t="s">
        <v>8</v>
      </c>
      <c r="C1154" s="9" t="s">
        <v>925</v>
      </c>
      <c r="D1154" s="9" t="s">
        <v>10</v>
      </c>
      <c r="E1154" s="9" t="s">
        <v>49</v>
      </c>
      <c r="F1154" s="6">
        <v>203242.0</v>
      </c>
      <c r="G1154" s="7">
        <v>0.0</v>
      </c>
      <c r="H1154" s="12" t="str">
        <f t="array" ref="H1154">XLOOKUP(C:C,Sheet3!A:A,Sheet3!B:B)</f>
        <v>#N/A</v>
      </c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</row>
    <row r="1155">
      <c r="A1155" s="11" t="s">
        <v>12</v>
      </c>
      <c r="B1155" s="11" t="s">
        <v>8</v>
      </c>
      <c r="C1155" s="9" t="s">
        <v>926</v>
      </c>
      <c r="D1155" s="9" t="s">
        <v>16</v>
      </c>
      <c r="E1155" s="10" t="s">
        <v>14</v>
      </c>
      <c r="F1155" s="6">
        <v>203242.0</v>
      </c>
      <c r="G1155" s="7">
        <v>0.0</v>
      </c>
      <c r="H1155" s="12">
        <v>0.0</v>
      </c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</row>
    <row r="1156">
      <c r="A1156" s="11" t="s">
        <v>12</v>
      </c>
      <c r="B1156" s="11" t="s">
        <v>13</v>
      </c>
      <c r="C1156" s="9" t="s">
        <v>927</v>
      </c>
      <c r="D1156" s="9" t="s">
        <v>16</v>
      </c>
      <c r="E1156" s="10" t="s">
        <v>14</v>
      </c>
      <c r="F1156" s="6">
        <v>0.0</v>
      </c>
      <c r="G1156" s="7">
        <v>0.0</v>
      </c>
      <c r="H1156" s="12">
        <v>0.0</v>
      </c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</row>
    <row r="1157">
      <c r="A1157" s="11" t="s">
        <v>7</v>
      </c>
      <c r="B1157" s="11" t="s">
        <v>8</v>
      </c>
      <c r="C1157" s="9" t="s">
        <v>928</v>
      </c>
      <c r="D1157" s="9" t="s">
        <v>16</v>
      </c>
      <c r="E1157" s="10" t="s">
        <v>14</v>
      </c>
      <c r="F1157" s="6">
        <v>0.0</v>
      </c>
      <c r="G1157" s="7">
        <v>0.0</v>
      </c>
      <c r="H1157" s="12" t="str">
        <f t="array" ref="H1157">XLOOKUP(C:C,Sheet3!A:A,Sheet3!B:B)</f>
        <v>#N/A</v>
      </c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</row>
    <row r="1158">
      <c r="A1158" s="11" t="s">
        <v>7</v>
      </c>
      <c r="B1158" s="11" t="s">
        <v>13</v>
      </c>
      <c r="C1158" s="9" t="s">
        <v>928</v>
      </c>
      <c r="D1158" s="9" t="s">
        <v>16</v>
      </c>
      <c r="E1158" s="10" t="s">
        <v>14</v>
      </c>
      <c r="F1158" s="6">
        <v>0.0</v>
      </c>
      <c r="G1158" s="7">
        <v>0.0</v>
      </c>
      <c r="H1158" s="12" t="str">
        <f t="array" ref="H1158">XLOOKUP(C:C,Sheet3!A:A,Sheet3!B:B)</f>
        <v>#N/A</v>
      </c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</row>
    <row r="1159">
      <c r="A1159" s="11" t="s">
        <v>12</v>
      </c>
      <c r="B1159" s="11" t="s">
        <v>8</v>
      </c>
      <c r="C1159" s="9" t="s">
        <v>928</v>
      </c>
      <c r="D1159" s="9" t="s">
        <v>16</v>
      </c>
      <c r="E1159" s="9" t="s">
        <v>49</v>
      </c>
      <c r="F1159" s="6">
        <v>250000.0</v>
      </c>
      <c r="G1159" s="7">
        <v>0.0</v>
      </c>
      <c r="H1159" s="12" t="str">
        <f t="array" ref="H1159">XLOOKUP(C:C,Sheet3!A:A,Sheet3!B:B)</f>
        <v>#N/A</v>
      </c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</row>
    <row r="1160">
      <c r="A1160" s="11" t="s">
        <v>12</v>
      </c>
      <c r="B1160" s="11" t="s">
        <v>13</v>
      </c>
      <c r="C1160" s="9" t="s">
        <v>929</v>
      </c>
      <c r="D1160" s="9" t="s">
        <v>16</v>
      </c>
      <c r="E1160" s="10" t="s">
        <v>14</v>
      </c>
      <c r="F1160" s="6">
        <v>0.0</v>
      </c>
      <c r="G1160" s="7">
        <v>0.0</v>
      </c>
      <c r="H1160" s="12">
        <v>0.0</v>
      </c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</row>
    <row r="1161">
      <c r="A1161" s="11" t="s">
        <v>7</v>
      </c>
      <c r="B1161" s="11" t="s">
        <v>13</v>
      </c>
      <c r="C1161" s="9" t="s">
        <v>930</v>
      </c>
      <c r="D1161" s="9" t="s">
        <v>26</v>
      </c>
      <c r="E1161" s="9" t="s">
        <v>49</v>
      </c>
      <c r="F1161" s="6">
        <v>100000.0</v>
      </c>
      <c r="G1161" s="7">
        <v>0.0</v>
      </c>
      <c r="H1161" s="12" t="str">
        <f t="array" ref="H1161">XLOOKUP(C:C,Sheet3!A:A,Sheet3!B:B)</f>
        <v>#N/A</v>
      </c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</row>
    <row r="1162">
      <c r="A1162" s="11" t="s">
        <v>12</v>
      </c>
      <c r="B1162" s="11" t="s">
        <v>13</v>
      </c>
      <c r="C1162" s="9" t="s">
        <v>930</v>
      </c>
      <c r="D1162" s="9" t="s">
        <v>26</v>
      </c>
      <c r="E1162" s="9" t="s">
        <v>49</v>
      </c>
      <c r="F1162" s="6">
        <v>160000.0</v>
      </c>
      <c r="G1162" s="7">
        <v>0.0</v>
      </c>
      <c r="H1162" s="12" t="str">
        <f t="array" ref="H1162">XLOOKUP(C:C,Sheet3!A:A,Sheet3!B:B)</f>
        <v>#N/A</v>
      </c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</row>
    <row r="1163">
      <c r="A1163" s="11" t="s">
        <v>12</v>
      </c>
      <c r="B1163" s="11" t="s">
        <v>13</v>
      </c>
      <c r="C1163" s="9" t="s">
        <v>931</v>
      </c>
      <c r="D1163" s="9" t="s">
        <v>26</v>
      </c>
      <c r="E1163" s="9" t="s">
        <v>49</v>
      </c>
      <c r="F1163" s="6">
        <v>0.0</v>
      </c>
      <c r="G1163" s="7">
        <v>0.0</v>
      </c>
      <c r="H1163" s="12" t="str">
        <f t="array" ref="H1163">XLOOKUP(C:C,Sheet3!A:A,Sheet3!B:B)</f>
        <v>#N/A</v>
      </c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</row>
    <row r="1164">
      <c r="A1164" s="11" t="s">
        <v>12</v>
      </c>
      <c r="B1164" s="11" t="s">
        <v>13</v>
      </c>
      <c r="C1164" s="9" t="s">
        <v>932</v>
      </c>
      <c r="D1164" s="9" t="s">
        <v>16</v>
      </c>
      <c r="E1164" s="9" t="s">
        <v>84</v>
      </c>
      <c r="F1164" s="6">
        <v>0.0</v>
      </c>
      <c r="G1164" s="7">
        <v>0.0</v>
      </c>
      <c r="H1164" s="12">
        <v>0.0</v>
      </c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</row>
    <row r="1165">
      <c r="A1165" s="11" t="s">
        <v>12</v>
      </c>
      <c r="B1165" s="11" t="s">
        <v>13</v>
      </c>
      <c r="C1165" s="9" t="s">
        <v>933</v>
      </c>
      <c r="D1165" s="9" t="s">
        <v>419</v>
      </c>
      <c r="E1165" s="9" t="s">
        <v>33</v>
      </c>
      <c r="F1165" s="6">
        <v>200000.0</v>
      </c>
      <c r="G1165" s="7">
        <v>0.0</v>
      </c>
      <c r="H1165" s="12" t="str">
        <f t="array" ref="H1165">XLOOKUP(C:C,Sheet3!A:A,Sheet3!B:B)</f>
        <v>#N/A</v>
      </c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</row>
    <row r="1166">
      <c r="A1166" s="11" t="s">
        <v>12</v>
      </c>
      <c r="B1166" s="11" t="s">
        <v>13</v>
      </c>
      <c r="C1166" s="9" t="s">
        <v>934</v>
      </c>
      <c r="D1166" s="9" t="s">
        <v>16</v>
      </c>
      <c r="E1166" s="9" t="s">
        <v>49</v>
      </c>
      <c r="F1166" s="6">
        <v>0.0</v>
      </c>
      <c r="G1166" s="7">
        <v>0.0</v>
      </c>
      <c r="H1166" s="12">
        <v>0.0</v>
      </c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</row>
    <row r="1167">
      <c r="A1167" s="11" t="s">
        <v>12</v>
      </c>
      <c r="B1167" s="11" t="s">
        <v>13</v>
      </c>
      <c r="C1167" s="9" t="s">
        <v>935</v>
      </c>
      <c r="D1167" s="9" t="s">
        <v>16</v>
      </c>
      <c r="E1167" s="10" t="s">
        <v>14</v>
      </c>
      <c r="F1167" s="6">
        <v>0.0</v>
      </c>
      <c r="G1167" s="7">
        <v>0.0</v>
      </c>
      <c r="H1167" s="12">
        <v>0.0</v>
      </c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</row>
    <row r="1168">
      <c r="A1168" s="11" t="s">
        <v>12</v>
      </c>
      <c r="B1168" s="11" t="s">
        <v>13</v>
      </c>
      <c r="C1168" s="9" t="s">
        <v>936</v>
      </c>
      <c r="D1168" s="9" t="s">
        <v>32</v>
      </c>
      <c r="E1168" s="10" t="s">
        <v>14</v>
      </c>
      <c r="F1168" s="6">
        <v>175000.0</v>
      </c>
      <c r="G1168" s="7">
        <v>0.0</v>
      </c>
      <c r="H1168" s="12" t="str">
        <f t="array" ref="H1168">XLOOKUP(C:C,Sheet3!A:A,Sheet3!B:B)</f>
        <v>#N/A</v>
      </c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</row>
    <row r="1169">
      <c r="A1169" s="11" t="s">
        <v>12</v>
      </c>
      <c r="B1169" s="11" t="s">
        <v>13</v>
      </c>
      <c r="C1169" s="9" t="s">
        <v>937</v>
      </c>
      <c r="D1169" s="9" t="s">
        <v>32</v>
      </c>
      <c r="E1169" s="10" t="s">
        <v>14</v>
      </c>
      <c r="F1169" s="6">
        <v>0.0</v>
      </c>
      <c r="G1169" s="7">
        <v>1411000.0</v>
      </c>
      <c r="H1169" s="12" t="str">
        <f t="array" ref="H1169">XLOOKUP(C:C,Sheet3!A:A,Sheet3!B:B)</f>
        <v>#N/A</v>
      </c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</row>
    <row r="1170">
      <c r="A1170" s="11" t="s">
        <v>12</v>
      </c>
      <c r="B1170" s="11" t="s">
        <v>13</v>
      </c>
      <c r="C1170" s="9" t="s">
        <v>938</v>
      </c>
      <c r="D1170" s="9" t="s">
        <v>16</v>
      </c>
      <c r="E1170" s="10" t="s">
        <v>14</v>
      </c>
      <c r="F1170" s="6">
        <v>0.0</v>
      </c>
      <c r="G1170" s="7">
        <v>0.0</v>
      </c>
      <c r="H1170" s="12">
        <v>0.0</v>
      </c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</row>
    <row r="1171">
      <c r="A1171" s="11" t="s">
        <v>12</v>
      </c>
      <c r="B1171" s="11" t="s">
        <v>13</v>
      </c>
      <c r="C1171" s="9" t="s">
        <v>939</v>
      </c>
      <c r="D1171" s="9" t="s">
        <v>16</v>
      </c>
      <c r="E1171" s="9" t="s">
        <v>49</v>
      </c>
      <c r="F1171" s="6">
        <v>0.0</v>
      </c>
      <c r="G1171" s="7">
        <v>0.0</v>
      </c>
      <c r="H1171" s="12">
        <v>0.0</v>
      </c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</row>
    <row r="1172">
      <c r="A1172" s="11" t="s">
        <v>12</v>
      </c>
      <c r="B1172" s="11" t="s">
        <v>13</v>
      </c>
      <c r="C1172" s="9" t="s">
        <v>940</v>
      </c>
      <c r="D1172" s="9" t="s">
        <v>16</v>
      </c>
      <c r="E1172" s="10" t="s">
        <v>14</v>
      </c>
      <c r="F1172" s="6">
        <v>0.0</v>
      </c>
      <c r="G1172" s="7">
        <v>0.0</v>
      </c>
      <c r="H1172" s="12">
        <v>0.0</v>
      </c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</row>
    <row r="1173">
      <c r="A1173" s="11" t="s">
        <v>12</v>
      </c>
      <c r="B1173" s="11" t="s">
        <v>8</v>
      </c>
      <c r="C1173" s="9" t="s">
        <v>941</v>
      </c>
      <c r="D1173" s="9" t="s">
        <v>16</v>
      </c>
      <c r="E1173" s="10" t="s">
        <v>14</v>
      </c>
      <c r="F1173" s="6">
        <v>118788.0</v>
      </c>
      <c r="G1173" s="7">
        <v>0.0</v>
      </c>
      <c r="H1173" s="12">
        <v>0.0</v>
      </c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</row>
    <row r="1174">
      <c r="A1174" s="11" t="s">
        <v>12</v>
      </c>
      <c r="B1174" s="11" t="s">
        <v>13</v>
      </c>
      <c r="C1174" s="9" t="s">
        <v>942</v>
      </c>
      <c r="D1174" s="9" t="s">
        <v>16</v>
      </c>
      <c r="E1174" s="10" t="s">
        <v>14</v>
      </c>
      <c r="F1174" s="6">
        <v>39000.0</v>
      </c>
      <c r="G1174" s="7">
        <v>0.0</v>
      </c>
      <c r="H1174" s="12" t="str">
        <f t="array" ref="H1174">XLOOKUP(C:C,Sheet3!A:A,Sheet3!B:B)</f>
        <v>#N/A</v>
      </c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</row>
    <row r="1175">
      <c r="A1175" s="11" t="s">
        <v>12</v>
      </c>
      <c r="B1175" s="11" t="s">
        <v>13</v>
      </c>
      <c r="C1175" s="9" t="s">
        <v>943</v>
      </c>
      <c r="D1175" s="9" t="s">
        <v>26</v>
      </c>
      <c r="E1175" s="9" t="s">
        <v>96</v>
      </c>
      <c r="F1175" s="6">
        <v>1000000.0</v>
      </c>
      <c r="G1175" s="7">
        <v>469935.0</v>
      </c>
      <c r="H1175" s="12" t="str">
        <f t="array" ref="H1175">XLOOKUP(C:C,Sheet3!A:A,Sheet3!B:B)</f>
        <v>#N/A</v>
      </c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</row>
    <row r="1176">
      <c r="A1176" s="11" t="s">
        <v>12</v>
      </c>
      <c r="B1176" s="11" t="s">
        <v>13</v>
      </c>
      <c r="C1176" s="9" t="s">
        <v>944</v>
      </c>
      <c r="D1176" s="9" t="s">
        <v>16</v>
      </c>
      <c r="E1176" s="10" t="s">
        <v>14</v>
      </c>
      <c r="F1176" s="6">
        <v>0.0</v>
      </c>
      <c r="G1176" s="7">
        <v>1431666.0</v>
      </c>
      <c r="H1176" s="12" t="str">
        <f t="array" ref="H1176">XLOOKUP(C:C,Sheet3!A:A,Sheet3!B:B)</f>
        <v>#N/A</v>
      </c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</row>
    <row r="1177">
      <c r="A1177" s="11" t="s">
        <v>12</v>
      </c>
      <c r="B1177" s="11" t="s">
        <v>13</v>
      </c>
      <c r="C1177" s="9" t="s">
        <v>945</v>
      </c>
      <c r="D1177" s="9" t="s">
        <v>16</v>
      </c>
      <c r="E1177" s="10" t="s">
        <v>14</v>
      </c>
      <c r="F1177" s="6">
        <v>0.0</v>
      </c>
      <c r="G1177" s="7">
        <v>0.0</v>
      </c>
      <c r="H1177" s="12">
        <v>0.0</v>
      </c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</row>
    <row r="1178">
      <c r="A1178" s="11" t="s">
        <v>12</v>
      </c>
      <c r="B1178" s="11" t="s">
        <v>13</v>
      </c>
      <c r="C1178" s="9" t="s">
        <v>946</v>
      </c>
      <c r="D1178" s="9" t="s">
        <v>16</v>
      </c>
      <c r="E1178" s="9" t="s">
        <v>17</v>
      </c>
      <c r="F1178" s="6">
        <v>0.0</v>
      </c>
      <c r="G1178" s="7">
        <v>0.0</v>
      </c>
      <c r="H1178" s="12">
        <v>0.0</v>
      </c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</row>
    <row r="1179">
      <c r="A1179" s="11" t="s">
        <v>12</v>
      </c>
      <c r="B1179" s="11" t="s">
        <v>13</v>
      </c>
      <c r="C1179" s="9" t="s">
        <v>947</v>
      </c>
      <c r="D1179" s="9" t="s">
        <v>16</v>
      </c>
      <c r="E1179" s="10" t="s">
        <v>14</v>
      </c>
      <c r="F1179" s="6">
        <v>8000.0</v>
      </c>
      <c r="G1179" s="7">
        <v>708.0</v>
      </c>
      <c r="H1179" s="12" t="str">
        <f t="array" ref="H1179">XLOOKUP(C:C,Sheet3!A:A,Sheet3!B:B)</f>
        <v>#N/A</v>
      </c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</row>
    <row r="1180">
      <c r="A1180" s="11" t="s">
        <v>12</v>
      </c>
      <c r="B1180" s="11" t="s">
        <v>13</v>
      </c>
      <c r="C1180" s="9" t="s">
        <v>948</v>
      </c>
      <c r="D1180" s="9" t="s">
        <v>16</v>
      </c>
      <c r="E1180" s="10" t="s">
        <v>14</v>
      </c>
      <c r="F1180" s="6">
        <v>0.0</v>
      </c>
      <c r="G1180" s="7">
        <v>0.0</v>
      </c>
      <c r="H1180" s="12">
        <v>0.0</v>
      </c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</row>
    <row r="1181">
      <c r="A1181" s="11" t="s">
        <v>7</v>
      </c>
      <c r="B1181" s="11" t="s">
        <v>13</v>
      </c>
      <c r="C1181" s="9" t="s">
        <v>949</v>
      </c>
      <c r="D1181" s="9" t="s">
        <v>83</v>
      </c>
      <c r="E1181" s="9" t="s">
        <v>950</v>
      </c>
      <c r="F1181" s="6">
        <v>1900000.0</v>
      </c>
      <c r="G1181" s="7">
        <v>0.0</v>
      </c>
      <c r="H1181" s="12" t="str">
        <f t="array" ref="H1181">XLOOKUP(C:C,Sheet3!A:A,Sheet3!B:B)</f>
        <v>#N/A</v>
      </c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</row>
    <row r="1182">
      <c r="A1182" s="11" t="s">
        <v>12</v>
      </c>
      <c r="B1182" s="11" t="s">
        <v>13</v>
      </c>
      <c r="C1182" s="9" t="s">
        <v>949</v>
      </c>
      <c r="D1182" s="9" t="s">
        <v>83</v>
      </c>
      <c r="E1182" s="9" t="s">
        <v>951</v>
      </c>
      <c r="F1182" s="6">
        <v>1900000.0</v>
      </c>
      <c r="G1182" s="7">
        <v>1102010.0</v>
      </c>
      <c r="H1182" s="12" t="str">
        <f t="array" ref="H1182">XLOOKUP(C:C,Sheet3!A:A,Sheet3!B:B)</f>
        <v>#N/A</v>
      </c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</row>
    <row r="1183">
      <c r="A1183" s="11" t="s">
        <v>12</v>
      </c>
      <c r="B1183" s="11" t="s">
        <v>13</v>
      </c>
      <c r="C1183" s="9" t="s">
        <v>952</v>
      </c>
      <c r="D1183" s="9" t="s">
        <v>16</v>
      </c>
      <c r="E1183" s="10" t="s">
        <v>14</v>
      </c>
      <c r="F1183" s="6">
        <v>0.0</v>
      </c>
      <c r="G1183" s="7">
        <v>0.0</v>
      </c>
      <c r="H1183" s="12">
        <v>0.0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</row>
    <row r="1184">
      <c r="A1184" s="11" t="s">
        <v>7</v>
      </c>
      <c r="B1184" s="11" t="s">
        <v>8</v>
      </c>
      <c r="C1184" s="9" t="s">
        <v>953</v>
      </c>
      <c r="D1184" s="9" t="s">
        <v>10</v>
      </c>
      <c r="E1184" s="9" t="s">
        <v>49</v>
      </c>
      <c r="F1184" s="6">
        <v>100000.0</v>
      </c>
      <c r="G1184" s="7">
        <v>0.0</v>
      </c>
      <c r="H1184" s="12" t="str">
        <f t="array" ref="H1184">XLOOKUP(C:C,Sheet3!A:A,Sheet3!B:B)</f>
        <v>#N/A</v>
      </c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</row>
    <row r="1185">
      <c r="A1185" s="11" t="s">
        <v>12</v>
      </c>
      <c r="B1185" s="11" t="s">
        <v>8</v>
      </c>
      <c r="C1185" s="9" t="s">
        <v>953</v>
      </c>
      <c r="D1185" s="9" t="s">
        <v>10</v>
      </c>
      <c r="E1185" s="9" t="s">
        <v>49</v>
      </c>
      <c r="F1185" s="6">
        <v>100000.0</v>
      </c>
      <c r="G1185" s="7">
        <v>71980.0</v>
      </c>
      <c r="H1185" s="12" t="str">
        <f t="array" ref="H1185">XLOOKUP(C:C,Sheet3!A:A,Sheet3!B:B)</f>
        <v>#N/A</v>
      </c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</row>
    <row r="1186">
      <c r="A1186" s="11" t="s">
        <v>12</v>
      </c>
      <c r="B1186" s="11" t="s">
        <v>13</v>
      </c>
      <c r="C1186" s="9" t="s">
        <v>953</v>
      </c>
      <c r="D1186" s="9" t="s">
        <v>10</v>
      </c>
      <c r="E1186" s="10" t="s">
        <v>14</v>
      </c>
      <c r="F1186" s="6">
        <v>100000.0</v>
      </c>
      <c r="G1186" s="7">
        <v>0.0</v>
      </c>
      <c r="H1186" s="12" t="str">
        <f t="array" ref="H1186">XLOOKUP(C:C,Sheet3!A:A,Sheet3!B:B)</f>
        <v>#N/A</v>
      </c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</row>
    <row r="1187">
      <c r="A1187" s="11" t="s">
        <v>12</v>
      </c>
      <c r="B1187" s="11" t="s">
        <v>13</v>
      </c>
      <c r="C1187" s="9" t="s">
        <v>954</v>
      </c>
      <c r="D1187" s="9" t="s">
        <v>16</v>
      </c>
      <c r="E1187" s="10" t="s">
        <v>14</v>
      </c>
      <c r="F1187" s="6">
        <v>0.0</v>
      </c>
      <c r="G1187" s="7">
        <v>0.0</v>
      </c>
      <c r="H1187" s="12">
        <v>0.0</v>
      </c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</row>
    <row r="1188">
      <c r="A1188" s="11" t="s">
        <v>12</v>
      </c>
      <c r="B1188" s="11" t="s">
        <v>13</v>
      </c>
      <c r="C1188" s="9" t="s">
        <v>955</v>
      </c>
      <c r="D1188" s="9" t="s">
        <v>88</v>
      </c>
      <c r="E1188" s="9" t="s">
        <v>33</v>
      </c>
      <c r="F1188" s="6">
        <v>500000.0</v>
      </c>
      <c r="G1188" s="7">
        <v>122258.0</v>
      </c>
      <c r="H1188" s="12" t="str">
        <f t="array" ref="H1188">XLOOKUP(C:C,Sheet3!A:A,Sheet3!B:B)</f>
        <v>#N/A</v>
      </c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</row>
    <row r="1189">
      <c r="A1189" s="11" t="s">
        <v>12</v>
      </c>
      <c r="B1189" s="11" t="s">
        <v>13</v>
      </c>
      <c r="C1189" s="9" t="s">
        <v>956</v>
      </c>
      <c r="D1189" s="9" t="s">
        <v>16</v>
      </c>
      <c r="E1189" s="10" t="s">
        <v>14</v>
      </c>
      <c r="F1189" s="6">
        <v>0.0</v>
      </c>
      <c r="G1189" s="7">
        <v>0.0</v>
      </c>
      <c r="H1189" s="12">
        <v>0.0</v>
      </c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</row>
    <row r="1190">
      <c r="A1190" s="11" t="s">
        <v>12</v>
      </c>
      <c r="B1190" s="11" t="s">
        <v>13</v>
      </c>
      <c r="C1190" s="9" t="s">
        <v>957</v>
      </c>
      <c r="D1190" s="9" t="s">
        <v>115</v>
      </c>
      <c r="E1190" s="9" t="s">
        <v>49</v>
      </c>
      <c r="F1190" s="6">
        <v>500000.0</v>
      </c>
      <c r="G1190" s="7">
        <v>0.0</v>
      </c>
      <c r="H1190" s="12" t="str">
        <f t="array" ref="H1190">XLOOKUP(C:C,Sheet3!A:A,Sheet3!B:B)</f>
        <v>#N/A</v>
      </c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</row>
    <row r="1191">
      <c r="A1191" s="11" t="s">
        <v>7</v>
      </c>
      <c r="B1191" s="11" t="s">
        <v>13</v>
      </c>
      <c r="C1191" s="9" t="s">
        <v>958</v>
      </c>
      <c r="D1191" s="9" t="s">
        <v>16</v>
      </c>
      <c r="E1191" s="9" t="s">
        <v>144</v>
      </c>
      <c r="F1191" s="6">
        <v>1200000.0</v>
      </c>
      <c r="G1191" s="7">
        <v>0.0</v>
      </c>
      <c r="H1191" s="12" t="str">
        <f t="array" ref="H1191">XLOOKUP(C:C,Sheet3!A:A,Sheet3!B:B)</f>
        <v>#N/A</v>
      </c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</row>
    <row r="1192">
      <c r="A1192" s="11" t="s">
        <v>12</v>
      </c>
      <c r="B1192" s="11" t="s">
        <v>13</v>
      </c>
      <c r="C1192" s="9" t="s">
        <v>959</v>
      </c>
      <c r="D1192" s="9" t="s">
        <v>32</v>
      </c>
      <c r="E1192" s="9" t="s">
        <v>49</v>
      </c>
      <c r="F1192" s="6">
        <v>1000000.0</v>
      </c>
      <c r="G1192" s="7">
        <v>473298.0</v>
      </c>
      <c r="H1192" s="12" t="str">
        <f t="array" ref="H1192">XLOOKUP(C:C,Sheet3!A:A,Sheet3!B:B)</f>
        <v>#N/A</v>
      </c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</row>
    <row r="1193">
      <c r="A1193" s="11" t="s">
        <v>12</v>
      </c>
      <c r="B1193" s="11" t="s">
        <v>13</v>
      </c>
      <c r="C1193" s="9" t="s">
        <v>960</v>
      </c>
      <c r="D1193" s="9" t="s">
        <v>19</v>
      </c>
      <c r="E1193" s="10" t="s">
        <v>14</v>
      </c>
      <c r="F1193" s="6">
        <v>1446371.0</v>
      </c>
      <c r="G1193" s="7">
        <v>0.0</v>
      </c>
      <c r="H1193" s="12" t="str">
        <f t="array" ref="H1193">XLOOKUP(C:C,Sheet3!A:A,Sheet3!B:B)</f>
        <v>#N/A</v>
      </c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</row>
    <row r="1194">
      <c r="A1194" s="11" t="s">
        <v>7</v>
      </c>
      <c r="B1194" s="11" t="s">
        <v>13</v>
      </c>
      <c r="C1194" s="9" t="s">
        <v>961</v>
      </c>
      <c r="D1194" s="9" t="s">
        <v>88</v>
      </c>
      <c r="E1194" s="9" t="s">
        <v>223</v>
      </c>
      <c r="F1194" s="6">
        <v>1000000.0</v>
      </c>
      <c r="G1194" s="7">
        <v>0.0</v>
      </c>
      <c r="H1194" s="12" t="str">
        <f t="array" ref="H1194">XLOOKUP(C:C,Sheet3!A:A,Sheet3!B:B)</f>
        <v>#N/A</v>
      </c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</row>
    <row r="1195">
      <c r="A1195" s="11" t="s">
        <v>12</v>
      </c>
      <c r="B1195" s="11" t="s">
        <v>13</v>
      </c>
      <c r="C1195" s="9" t="s">
        <v>961</v>
      </c>
      <c r="D1195" s="9" t="s">
        <v>88</v>
      </c>
      <c r="E1195" s="9" t="s">
        <v>96</v>
      </c>
      <c r="F1195" s="6">
        <v>1000000.0</v>
      </c>
      <c r="G1195" s="7">
        <v>199538.0</v>
      </c>
      <c r="H1195" s="12" t="str">
        <f t="array" ref="H1195">XLOOKUP(C:C,Sheet3!A:A,Sheet3!B:B)</f>
        <v>#N/A</v>
      </c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</row>
    <row r="1196">
      <c r="A1196" s="11" t="s">
        <v>12</v>
      </c>
      <c r="B1196" s="11" t="s">
        <v>8</v>
      </c>
      <c r="C1196" s="9" t="s">
        <v>962</v>
      </c>
      <c r="D1196" s="9" t="s">
        <v>16</v>
      </c>
      <c r="E1196" s="10" t="s">
        <v>14</v>
      </c>
      <c r="F1196" s="6">
        <v>10000.0</v>
      </c>
      <c r="G1196" s="7">
        <v>-140.0</v>
      </c>
      <c r="H1196" s="12" t="str">
        <f t="array" ref="H1196">XLOOKUP(C:C,Sheet3!A:A,Sheet3!B:B)</f>
        <v>#N/A</v>
      </c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</row>
    <row r="1197">
      <c r="A1197" s="11" t="s">
        <v>12</v>
      </c>
      <c r="B1197" s="11" t="s">
        <v>13</v>
      </c>
      <c r="C1197" s="9" t="s">
        <v>962</v>
      </c>
      <c r="D1197" s="9" t="s">
        <v>16</v>
      </c>
      <c r="E1197" s="10" t="s">
        <v>14</v>
      </c>
      <c r="F1197" s="6">
        <v>240000.0</v>
      </c>
      <c r="G1197" s="7">
        <v>0.0</v>
      </c>
      <c r="H1197" s="12" t="str">
        <f t="array" ref="H1197">XLOOKUP(C:C,Sheet3!A:A,Sheet3!B:B)</f>
        <v>#N/A</v>
      </c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</row>
    <row r="1198">
      <c r="A1198" s="11" t="s">
        <v>12</v>
      </c>
      <c r="B1198" s="11" t="s">
        <v>13</v>
      </c>
      <c r="C1198" s="9" t="s">
        <v>963</v>
      </c>
      <c r="D1198" s="9" t="s">
        <v>16</v>
      </c>
      <c r="E1198" s="10" t="s">
        <v>14</v>
      </c>
      <c r="F1198" s="6">
        <v>0.0</v>
      </c>
      <c r="G1198" s="7">
        <v>0.0</v>
      </c>
      <c r="H1198" s="12">
        <v>0.0</v>
      </c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</row>
    <row r="1199">
      <c r="A1199" s="11" t="s">
        <v>12</v>
      </c>
      <c r="B1199" s="11" t="s">
        <v>13</v>
      </c>
      <c r="C1199" s="9" t="s">
        <v>964</v>
      </c>
      <c r="D1199" s="9" t="s">
        <v>16</v>
      </c>
      <c r="E1199" s="9" t="s">
        <v>49</v>
      </c>
      <c r="F1199" s="6">
        <v>0.0</v>
      </c>
      <c r="G1199" s="7">
        <v>0.0</v>
      </c>
      <c r="H1199" s="12">
        <v>0.0</v>
      </c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</row>
    <row r="1200">
      <c r="A1200" s="11" t="s">
        <v>7</v>
      </c>
      <c r="B1200" s="11" t="s">
        <v>13</v>
      </c>
      <c r="C1200" s="9" t="s">
        <v>965</v>
      </c>
      <c r="D1200" s="9" t="s">
        <v>48</v>
      </c>
      <c r="E1200" s="10" t="s">
        <v>14</v>
      </c>
      <c r="F1200" s="6">
        <v>0.0</v>
      </c>
      <c r="G1200" s="7">
        <v>0.0</v>
      </c>
      <c r="H1200" s="12">
        <v>0.0</v>
      </c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</row>
    <row r="1201">
      <c r="A1201" s="11" t="s">
        <v>12</v>
      </c>
      <c r="B1201" s="11" t="s">
        <v>13</v>
      </c>
      <c r="C1201" s="9" t="s">
        <v>965</v>
      </c>
      <c r="D1201" s="9" t="s">
        <v>48</v>
      </c>
      <c r="E1201" s="10" t="s">
        <v>14</v>
      </c>
      <c r="F1201" s="6">
        <v>0.0</v>
      </c>
      <c r="G1201" s="7">
        <v>0.0</v>
      </c>
      <c r="H1201" s="12">
        <v>0.0</v>
      </c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</row>
    <row r="1202">
      <c r="A1202" s="11" t="s">
        <v>12</v>
      </c>
      <c r="B1202" s="11" t="s">
        <v>13</v>
      </c>
      <c r="C1202" s="9" t="s">
        <v>966</v>
      </c>
      <c r="D1202" s="9" t="s">
        <v>16</v>
      </c>
      <c r="E1202" s="10" t="s">
        <v>14</v>
      </c>
      <c r="F1202" s="6">
        <v>0.0</v>
      </c>
      <c r="G1202" s="7">
        <v>0.0</v>
      </c>
      <c r="H1202" s="12">
        <v>0.0</v>
      </c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</row>
    <row r="1203">
      <c r="A1203" s="11" t="s">
        <v>12</v>
      </c>
      <c r="B1203" s="11" t="s">
        <v>13</v>
      </c>
      <c r="C1203" s="9" t="s">
        <v>967</v>
      </c>
      <c r="D1203" s="9" t="s">
        <v>16</v>
      </c>
      <c r="E1203" s="10" t="s">
        <v>14</v>
      </c>
      <c r="F1203" s="6">
        <v>0.0</v>
      </c>
      <c r="G1203" s="7">
        <v>0.0</v>
      </c>
      <c r="H1203" s="12">
        <v>0.0</v>
      </c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</row>
    <row r="1204">
      <c r="A1204" s="11" t="s">
        <v>12</v>
      </c>
      <c r="B1204" s="11" t="s">
        <v>13</v>
      </c>
      <c r="C1204" s="9" t="s">
        <v>968</v>
      </c>
      <c r="D1204" s="9" t="s">
        <v>16</v>
      </c>
      <c r="E1204" s="10" t="s">
        <v>14</v>
      </c>
      <c r="F1204" s="6">
        <v>0.0</v>
      </c>
      <c r="G1204" s="7">
        <v>0.0</v>
      </c>
      <c r="H1204" s="12">
        <v>0.0</v>
      </c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</row>
    <row r="1205">
      <c r="A1205" s="11" t="s">
        <v>12</v>
      </c>
      <c r="B1205" s="11" t="s">
        <v>8</v>
      </c>
      <c r="C1205" s="9" t="s">
        <v>968</v>
      </c>
      <c r="D1205" s="9" t="s">
        <v>16</v>
      </c>
      <c r="E1205" s="9" t="s">
        <v>49</v>
      </c>
      <c r="F1205" s="6">
        <v>1.0</v>
      </c>
      <c r="G1205" s="7">
        <v>0.0</v>
      </c>
      <c r="H1205" s="12">
        <v>0.0</v>
      </c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</row>
    <row r="1206">
      <c r="A1206" s="11" t="s">
        <v>12</v>
      </c>
      <c r="B1206" s="11" t="s">
        <v>13</v>
      </c>
      <c r="C1206" s="9" t="s">
        <v>969</v>
      </c>
      <c r="D1206" s="9" t="s">
        <v>16</v>
      </c>
      <c r="E1206" s="10" t="s">
        <v>14</v>
      </c>
      <c r="F1206" s="6">
        <v>0.0</v>
      </c>
      <c r="G1206" s="7">
        <v>0.0</v>
      </c>
      <c r="H1206" s="12">
        <v>0.0</v>
      </c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</row>
    <row r="1207">
      <c r="A1207" s="11" t="s">
        <v>12</v>
      </c>
      <c r="B1207" s="11" t="s">
        <v>13</v>
      </c>
      <c r="C1207" s="9" t="s">
        <v>970</v>
      </c>
      <c r="D1207" s="9" t="s">
        <v>48</v>
      </c>
      <c r="E1207" s="9" t="s">
        <v>49</v>
      </c>
      <c r="F1207" s="6">
        <v>750000.0</v>
      </c>
      <c r="G1207" s="7">
        <v>73135.0</v>
      </c>
      <c r="H1207" s="12" t="str">
        <f t="array" ref="H1207">XLOOKUP(C:C,Sheet3!A:A,Sheet3!B:B)</f>
        <v>#N/A</v>
      </c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</row>
    <row r="1208">
      <c r="A1208" s="11" t="s">
        <v>12</v>
      </c>
      <c r="B1208" s="11" t="s">
        <v>13</v>
      </c>
      <c r="C1208" s="9" t="s">
        <v>971</v>
      </c>
      <c r="D1208" s="9" t="s">
        <v>16</v>
      </c>
      <c r="E1208" s="10" t="s">
        <v>14</v>
      </c>
      <c r="F1208" s="6">
        <v>100000.0</v>
      </c>
      <c r="G1208" s="7">
        <v>0.0</v>
      </c>
      <c r="H1208" s="12" t="str">
        <f t="array" ref="H1208">XLOOKUP(C:C,Sheet3!A:A,Sheet3!B:B)</f>
        <v>#N/A</v>
      </c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</row>
    <row r="1209">
      <c r="A1209" s="11" t="s">
        <v>12</v>
      </c>
      <c r="B1209" s="11" t="s">
        <v>13</v>
      </c>
      <c r="C1209" s="9" t="s">
        <v>972</v>
      </c>
      <c r="D1209" s="9" t="s">
        <v>16</v>
      </c>
      <c r="E1209" s="9" t="s">
        <v>33</v>
      </c>
      <c r="F1209" s="6">
        <v>0.0</v>
      </c>
      <c r="G1209" s="7">
        <v>0.0</v>
      </c>
      <c r="H1209" s="12" t="str">
        <f t="array" ref="H1209">XLOOKUP(C:C,Sheet3!A:A,Sheet3!B:B)</f>
        <v>#N/A</v>
      </c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</row>
    <row r="1210">
      <c r="A1210" s="11" t="s">
        <v>12</v>
      </c>
      <c r="B1210" s="11" t="s">
        <v>13</v>
      </c>
      <c r="C1210" s="9" t="s">
        <v>973</v>
      </c>
      <c r="D1210" s="9" t="s">
        <v>16</v>
      </c>
      <c r="E1210" s="10" t="s">
        <v>14</v>
      </c>
      <c r="F1210" s="6">
        <v>0.0</v>
      </c>
      <c r="G1210" s="7">
        <v>0.0</v>
      </c>
      <c r="H1210" s="12">
        <v>0.0</v>
      </c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</row>
    <row r="1211">
      <c r="A1211" s="11" t="s">
        <v>7</v>
      </c>
      <c r="B1211" s="11" t="s">
        <v>13</v>
      </c>
      <c r="C1211" s="9" t="s">
        <v>974</v>
      </c>
      <c r="D1211" s="9" t="s">
        <v>88</v>
      </c>
      <c r="E1211" s="9" t="s">
        <v>23</v>
      </c>
      <c r="F1211" s="6">
        <v>2700000.0</v>
      </c>
      <c r="G1211" s="7">
        <v>0.0</v>
      </c>
      <c r="H1211" s="12" t="str">
        <f t="array" ref="H1211">XLOOKUP(C:C,Sheet3!A:A,Sheet3!B:B)</f>
        <v>#N/A</v>
      </c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</row>
    <row r="1212">
      <c r="A1212" s="11" t="s">
        <v>12</v>
      </c>
      <c r="B1212" s="11" t="s">
        <v>13</v>
      </c>
      <c r="C1212" s="9" t="s">
        <v>974</v>
      </c>
      <c r="D1212" s="9" t="s">
        <v>88</v>
      </c>
      <c r="E1212" s="9" t="s">
        <v>17</v>
      </c>
      <c r="F1212" s="6">
        <v>2700000.0</v>
      </c>
      <c r="G1212" s="7">
        <v>556107.0</v>
      </c>
      <c r="H1212" s="12" t="str">
        <f t="array" ref="H1212">XLOOKUP(C:C,Sheet3!A:A,Sheet3!B:B)</f>
        <v>#N/A</v>
      </c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</row>
    <row r="1213">
      <c r="A1213" s="11" t="s">
        <v>12</v>
      </c>
      <c r="B1213" s="11" t="s">
        <v>13</v>
      </c>
      <c r="C1213" s="9" t="s">
        <v>975</v>
      </c>
      <c r="D1213" s="9" t="s">
        <v>16</v>
      </c>
      <c r="E1213" s="10" t="s">
        <v>14</v>
      </c>
      <c r="F1213" s="6">
        <v>0.0</v>
      </c>
      <c r="G1213" s="7">
        <v>0.0</v>
      </c>
      <c r="H1213" s="12">
        <v>0.0</v>
      </c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</row>
    <row r="1214">
      <c r="A1214" s="11" t="s">
        <v>12</v>
      </c>
      <c r="B1214" s="11" t="s">
        <v>13</v>
      </c>
      <c r="C1214" s="9" t="s">
        <v>976</v>
      </c>
      <c r="D1214" s="9" t="s">
        <v>16</v>
      </c>
      <c r="E1214" s="10" t="s">
        <v>14</v>
      </c>
      <c r="F1214" s="6">
        <v>0.0</v>
      </c>
      <c r="G1214" s="7">
        <v>0.0</v>
      </c>
      <c r="H1214" s="12">
        <v>0.0</v>
      </c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</row>
    <row r="1215">
      <c r="A1215" s="11" t="s">
        <v>7</v>
      </c>
      <c r="B1215" s="11" t="s">
        <v>13</v>
      </c>
      <c r="C1215" s="9" t="s">
        <v>977</v>
      </c>
      <c r="D1215" s="9" t="s">
        <v>32</v>
      </c>
      <c r="E1215" s="9" t="s">
        <v>49</v>
      </c>
      <c r="F1215" s="6">
        <v>500000.0</v>
      </c>
      <c r="G1215" s="7">
        <v>0.0</v>
      </c>
      <c r="H1215" s="12" t="str">
        <f t="array" ref="H1215">XLOOKUP(C:C,Sheet3!A:A,Sheet3!B:B)</f>
        <v>#N/A</v>
      </c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</row>
    <row r="1216">
      <c r="A1216" s="11" t="s">
        <v>12</v>
      </c>
      <c r="B1216" s="11" t="s">
        <v>13</v>
      </c>
      <c r="C1216" s="9" t="s">
        <v>977</v>
      </c>
      <c r="D1216" s="9" t="s">
        <v>32</v>
      </c>
      <c r="E1216" s="10" t="s">
        <v>14</v>
      </c>
      <c r="F1216" s="6">
        <v>0.0</v>
      </c>
      <c r="G1216" s="7">
        <v>0.0</v>
      </c>
      <c r="H1216" s="12" t="str">
        <f t="array" ref="H1216">XLOOKUP(C:C,Sheet3!A:A,Sheet3!B:B)</f>
        <v>#N/A</v>
      </c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</row>
    <row r="1217">
      <c r="A1217" s="11" t="s">
        <v>12</v>
      </c>
      <c r="B1217" s="11" t="s">
        <v>13</v>
      </c>
      <c r="C1217" s="9" t="s">
        <v>978</v>
      </c>
      <c r="D1217" s="9" t="s">
        <v>16</v>
      </c>
      <c r="E1217" s="10" t="s">
        <v>14</v>
      </c>
      <c r="F1217" s="6">
        <v>0.0</v>
      </c>
      <c r="G1217" s="7">
        <v>1676780.0</v>
      </c>
      <c r="H1217" s="12" t="str">
        <f t="array" ref="H1217">XLOOKUP(C:C,Sheet3!A:A,Sheet3!B:B)</f>
        <v>#N/A</v>
      </c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</row>
    <row r="1218">
      <c r="A1218" s="11" t="s">
        <v>12</v>
      </c>
      <c r="B1218" s="11" t="s">
        <v>13</v>
      </c>
      <c r="C1218" s="9" t="s">
        <v>979</v>
      </c>
      <c r="D1218" s="9" t="s">
        <v>16</v>
      </c>
      <c r="E1218" s="10" t="s">
        <v>14</v>
      </c>
      <c r="F1218" s="6">
        <v>0.0</v>
      </c>
      <c r="G1218" s="7">
        <v>0.0</v>
      </c>
      <c r="H1218" s="12">
        <v>0.0</v>
      </c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</row>
    <row r="1219">
      <c r="A1219" s="11" t="s">
        <v>12</v>
      </c>
      <c r="B1219" s="11" t="s">
        <v>13</v>
      </c>
      <c r="C1219" s="9" t="s">
        <v>980</v>
      </c>
      <c r="D1219" s="9" t="s">
        <v>16</v>
      </c>
      <c r="E1219" s="9" t="s">
        <v>49</v>
      </c>
      <c r="F1219" s="6">
        <v>0.0</v>
      </c>
      <c r="G1219" s="7">
        <v>0.0</v>
      </c>
      <c r="H1219" s="12">
        <v>0.0</v>
      </c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</row>
    <row r="1220">
      <c r="A1220" s="11" t="s">
        <v>7</v>
      </c>
      <c r="B1220" s="11" t="s">
        <v>13</v>
      </c>
      <c r="C1220" s="9" t="s">
        <v>981</v>
      </c>
      <c r="D1220" s="9" t="s">
        <v>16</v>
      </c>
      <c r="E1220" s="10" t="s">
        <v>14</v>
      </c>
      <c r="F1220" s="6">
        <v>0.0</v>
      </c>
      <c r="G1220" s="7">
        <v>0.0</v>
      </c>
      <c r="H1220" s="12">
        <v>0.0</v>
      </c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</row>
    <row r="1221">
      <c r="A1221" s="11" t="s">
        <v>12</v>
      </c>
      <c r="B1221" s="11" t="s">
        <v>13</v>
      </c>
      <c r="C1221" s="9" t="s">
        <v>981</v>
      </c>
      <c r="D1221" s="9" t="s">
        <v>16</v>
      </c>
      <c r="E1221" s="10" t="s">
        <v>14</v>
      </c>
      <c r="F1221" s="6">
        <v>0.0</v>
      </c>
      <c r="G1221" s="7">
        <v>0.0</v>
      </c>
      <c r="H1221" s="12">
        <v>0.0</v>
      </c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</row>
    <row r="1222">
      <c r="A1222" s="11" t="s">
        <v>12</v>
      </c>
      <c r="B1222" s="11" t="s">
        <v>13</v>
      </c>
      <c r="C1222" s="9" t="s">
        <v>982</v>
      </c>
      <c r="D1222" s="9" t="s">
        <v>16</v>
      </c>
      <c r="E1222" s="10" t="s">
        <v>14</v>
      </c>
      <c r="F1222" s="6">
        <v>0.0</v>
      </c>
      <c r="G1222" s="7">
        <v>0.0</v>
      </c>
      <c r="H1222" s="12">
        <v>0.0</v>
      </c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</row>
    <row r="1223">
      <c r="A1223" s="11" t="s">
        <v>7</v>
      </c>
      <c r="B1223" s="11" t="s">
        <v>13</v>
      </c>
      <c r="C1223" s="9" t="s">
        <v>983</v>
      </c>
      <c r="D1223" s="9" t="s">
        <v>16</v>
      </c>
      <c r="E1223" s="10" t="s">
        <v>14</v>
      </c>
      <c r="F1223" s="6">
        <v>0.0</v>
      </c>
      <c r="G1223" s="7">
        <v>0.0</v>
      </c>
      <c r="H1223" s="12">
        <v>0.0</v>
      </c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</row>
    <row r="1224">
      <c r="A1224" s="11" t="s">
        <v>12</v>
      </c>
      <c r="B1224" s="11" t="s">
        <v>13</v>
      </c>
      <c r="C1224" s="9" t="s">
        <v>984</v>
      </c>
      <c r="D1224" s="9" t="s">
        <v>16</v>
      </c>
      <c r="E1224" s="9" t="s">
        <v>49</v>
      </c>
      <c r="F1224" s="6">
        <v>30000.0</v>
      </c>
      <c r="G1224" s="7">
        <v>0.0</v>
      </c>
      <c r="H1224" s="12">
        <v>0.0</v>
      </c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</row>
    <row r="1225">
      <c r="A1225" s="11" t="s">
        <v>12</v>
      </c>
      <c r="B1225" s="11" t="s">
        <v>13</v>
      </c>
      <c r="C1225" s="9" t="s">
        <v>985</v>
      </c>
      <c r="D1225" s="9" t="s">
        <v>48</v>
      </c>
      <c r="E1225" s="10" t="s">
        <v>14</v>
      </c>
      <c r="F1225" s="6">
        <v>179000.0</v>
      </c>
      <c r="G1225" s="7">
        <v>273819.0</v>
      </c>
      <c r="H1225" s="12" t="str">
        <f t="array" ref="H1225">XLOOKUP(C:C,Sheet3!A:A,Sheet3!B:B)</f>
        <v>#N/A</v>
      </c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</row>
    <row r="1226">
      <c r="A1226" s="11" t="s">
        <v>12</v>
      </c>
      <c r="B1226" s="11" t="s">
        <v>13</v>
      </c>
      <c r="C1226" s="9" t="s">
        <v>986</v>
      </c>
      <c r="D1226" s="9" t="s">
        <v>48</v>
      </c>
      <c r="E1226" s="10" t="s">
        <v>14</v>
      </c>
      <c r="F1226" s="6">
        <v>0.0</v>
      </c>
      <c r="G1226" s="7">
        <v>342.0</v>
      </c>
      <c r="H1226" s="12" t="str">
        <f t="array" ref="H1226">XLOOKUP(C:C,Sheet3!A:A,Sheet3!B:B)</f>
        <v>#N/A</v>
      </c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</row>
    <row r="1227">
      <c r="A1227" s="11" t="s">
        <v>7</v>
      </c>
      <c r="B1227" s="11" t="s">
        <v>13</v>
      </c>
      <c r="C1227" s="9" t="s">
        <v>987</v>
      </c>
      <c r="D1227" s="9" t="s">
        <v>32</v>
      </c>
      <c r="E1227" s="9" t="s">
        <v>84</v>
      </c>
      <c r="F1227" s="6">
        <v>800000.0</v>
      </c>
      <c r="G1227" s="7">
        <v>0.0</v>
      </c>
      <c r="H1227" s="12" t="str">
        <f t="array" ref="H1227">XLOOKUP(C:C,Sheet3!A:A,Sheet3!B:B)</f>
        <v>#N/A</v>
      </c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</row>
    <row r="1228">
      <c r="A1228" s="11" t="s">
        <v>12</v>
      </c>
      <c r="B1228" s="11" t="s">
        <v>13</v>
      </c>
      <c r="C1228" s="9" t="s">
        <v>987</v>
      </c>
      <c r="D1228" s="9" t="s">
        <v>32</v>
      </c>
      <c r="E1228" s="9" t="s">
        <v>84</v>
      </c>
      <c r="F1228" s="6">
        <v>2000000.0</v>
      </c>
      <c r="G1228" s="7">
        <v>1496566.0</v>
      </c>
      <c r="H1228" s="12" t="str">
        <f t="array" ref="H1228">XLOOKUP(C:C,Sheet3!A:A,Sheet3!B:B)</f>
        <v>#N/A</v>
      </c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</row>
    <row r="1229">
      <c r="A1229" s="11" t="s">
        <v>12</v>
      </c>
      <c r="B1229" s="11" t="s">
        <v>13</v>
      </c>
      <c r="C1229" s="9" t="s">
        <v>988</v>
      </c>
      <c r="D1229" s="9" t="s">
        <v>16</v>
      </c>
      <c r="E1229" s="9" t="s">
        <v>17</v>
      </c>
      <c r="F1229" s="6">
        <v>650000.0</v>
      </c>
      <c r="G1229" s="7">
        <v>803850.0</v>
      </c>
      <c r="H1229" s="12" t="str">
        <f t="array" ref="H1229">XLOOKUP(C:C,Sheet3!A:A,Sheet3!B:B)</f>
        <v>#N/A</v>
      </c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</row>
    <row r="1230">
      <c r="A1230" s="11" t="s">
        <v>7</v>
      </c>
      <c r="B1230" s="11" t="s">
        <v>13</v>
      </c>
      <c r="C1230" s="9" t="s">
        <v>989</v>
      </c>
      <c r="D1230" s="9" t="s">
        <v>32</v>
      </c>
      <c r="E1230" s="9" t="s">
        <v>223</v>
      </c>
      <c r="F1230" s="6">
        <v>500000.0</v>
      </c>
      <c r="G1230" s="7">
        <v>0.0</v>
      </c>
      <c r="H1230" s="12" t="str">
        <f t="array" ref="H1230">XLOOKUP(C:C,Sheet3!A:A,Sheet3!B:B)</f>
        <v>#N/A</v>
      </c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</row>
    <row r="1231">
      <c r="A1231" s="11" t="s">
        <v>12</v>
      </c>
      <c r="B1231" s="11" t="s">
        <v>13</v>
      </c>
      <c r="C1231" s="9" t="s">
        <v>989</v>
      </c>
      <c r="D1231" s="9" t="s">
        <v>32</v>
      </c>
      <c r="E1231" s="9" t="s">
        <v>96</v>
      </c>
      <c r="F1231" s="6">
        <v>500000.0</v>
      </c>
      <c r="G1231" s="7">
        <v>0.0</v>
      </c>
      <c r="H1231" s="12" t="str">
        <f t="array" ref="H1231">XLOOKUP(C:C,Sheet3!A:A,Sheet3!B:B)</f>
        <v>#N/A</v>
      </c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</row>
    <row r="1232">
      <c r="A1232" s="11" t="s">
        <v>12</v>
      </c>
      <c r="B1232" s="11" t="s">
        <v>13</v>
      </c>
      <c r="C1232" s="9" t="s">
        <v>990</v>
      </c>
      <c r="D1232" s="9" t="s">
        <v>16</v>
      </c>
      <c r="E1232" s="10" t="s">
        <v>14</v>
      </c>
      <c r="F1232" s="6">
        <v>0.0</v>
      </c>
      <c r="G1232" s="7">
        <v>0.0</v>
      </c>
      <c r="H1232" s="12">
        <v>0.0</v>
      </c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</row>
    <row r="1233">
      <c r="A1233" s="11" t="s">
        <v>7</v>
      </c>
      <c r="B1233" s="11" t="s">
        <v>13</v>
      </c>
      <c r="C1233" s="9" t="s">
        <v>991</v>
      </c>
      <c r="D1233" s="9" t="s">
        <v>32</v>
      </c>
      <c r="E1233" s="9" t="s">
        <v>144</v>
      </c>
      <c r="F1233" s="6">
        <v>1.32E7</v>
      </c>
      <c r="G1233" s="7">
        <v>0.0</v>
      </c>
      <c r="H1233" s="12" t="str">
        <f t="array" ref="H1233">XLOOKUP(C:C,Sheet3!A:A,Sheet3!B:B)</f>
        <v>#N/A</v>
      </c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</row>
    <row r="1234">
      <c r="A1234" s="11" t="s">
        <v>12</v>
      </c>
      <c r="B1234" s="11" t="s">
        <v>13</v>
      </c>
      <c r="C1234" s="9" t="s">
        <v>991</v>
      </c>
      <c r="D1234" s="9" t="s">
        <v>32</v>
      </c>
      <c r="E1234" s="9" t="s">
        <v>49</v>
      </c>
      <c r="F1234" s="6">
        <v>1.4E7</v>
      </c>
      <c r="G1234" s="7">
        <v>8778963.0</v>
      </c>
      <c r="H1234" s="12" t="str">
        <f t="array" ref="H1234">XLOOKUP(C:C,Sheet3!A:A,Sheet3!B:B)</f>
        <v>#N/A</v>
      </c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</row>
    <row r="1235">
      <c r="A1235" s="11" t="s">
        <v>12</v>
      </c>
      <c r="B1235" s="11" t="s">
        <v>13</v>
      </c>
      <c r="C1235" s="9" t="s">
        <v>992</v>
      </c>
      <c r="D1235" s="9" t="s">
        <v>16</v>
      </c>
      <c r="E1235" s="10" t="s">
        <v>14</v>
      </c>
      <c r="F1235" s="6">
        <v>0.0</v>
      </c>
      <c r="G1235" s="7">
        <v>0.0</v>
      </c>
      <c r="H1235" s="12">
        <v>0.0</v>
      </c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</row>
    <row r="1236">
      <c r="A1236" s="11" t="s">
        <v>7</v>
      </c>
      <c r="B1236" s="11" t="s">
        <v>13</v>
      </c>
      <c r="C1236" s="9" t="s">
        <v>993</v>
      </c>
      <c r="D1236" s="9" t="s">
        <v>48</v>
      </c>
      <c r="E1236" s="9" t="s">
        <v>144</v>
      </c>
      <c r="F1236" s="6">
        <v>2876000.0</v>
      </c>
      <c r="G1236" s="7">
        <v>0.0</v>
      </c>
      <c r="H1236" s="12" t="str">
        <f t="array" ref="H1236">XLOOKUP(C:C,Sheet3!A:A,Sheet3!B:B)</f>
        <v>#N/A</v>
      </c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</row>
    <row r="1237">
      <c r="A1237" s="11" t="s">
        <v>12</v>
      </c>
      <c r="B1237" s="11" t="s">
        <v>13</v>
      </c>
      <c r="C1237" s="9" t="s">
        <v>993</v>
      </c>
      <c r="D1237" s="9" t="s">
        <v>48</v>
      </c>
      <c r="E1237" s="9" t="s">
        <v>49</v>
      </c>
      <c r="F1237" s="6">
        <v>2876000.0</v>
      </c>
      <c r="G1237" s="7">
        <v>1785184.0</v>
      </c>
      <c r="H1237" s="12" t="str">
        <f t="array" ref="H1237">XLOOKUP(C:C,Sheet3!A:A,Sheet3!B:B)</f>
        <v>#N/A</v>
      </c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</row>
    <row r="1238">
      <c r="A1238" s="11" t="s">
        <v>12</v>
      </c>
      <c r="B1238" s="11" t="s">
        <v>13</v>
      </c>
      <c r="C1238" s="9" t="s">
        <v>994</v>
      </c>
      <c r="D1238" s="9" t="s">
        <v>16</v>
      </c>
      <c r="E1238" s="10" t="s">
        <v>14</v>
      </c>
      <c r="F1238" s="6">
        <v>0.0</v>
      </c>
      <c r="G1238" s="7">
        <v>-7166022.0</v>
      </c>
      <c r="H1238" s="12">
        <v>0.0</v>
      </c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</row>
    <row r="1239">
      <c r="A1239" s="11" t="s">
        <v>7</v>
      </c>
      <c r="B1239" s="11" t="s">
        <v>13</v>
      </c>
      <c r="C1239" s="9" t="s">
        <v>995</v>
      </c>
      <c r="D1239" s="9" t="s">
        <v>32</v>
      </c>
      <c r="E1239" s="9" t="s">
        <v>49</v>
      </c>
      <c r="F1239" s="6">
        <v>100000.0</v>
      </c>
      <c r="G1239" s="7">
        <v>0.0</v>
      </c>
      <c r="H1239" s="12" t="str">
        <f t="array" ref="H1239">XLOOKUP(C:C,Sheet3!A:A,Sheet3!B:B)</f>
        <v>#N/A</v>
      </c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</row>
    <row r="1240">
      <c r="A1240" s="11" t="s">
        <v>12</v>
      </c>
      <c r="B1240" s="11" t="s">
        <v>13</v>
      </c>
      <c r="C1240" s="9" t="s">
        <v>995</v>
      </c>
      <c r="D1240" s="9" t="s">
        <v>32</v>
      </c>
      <c r="E1240" s="10" t="s">
        <v>14</v>
      </c>
      <c r="F1240" s="6">
        <v>200000.0</v>
      </c>
      <c r="G1240" s="7">
        <v>0.0</v>
      </c>
      <c r="H1240" s="12" t="str">
        <f t="array" ref="H1240">XLOOKUP(C:C,Sheet3!A:A,Sheet3!B:B)</f>
        <v>#N/A</v>
      </c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</row>
    <row r="1241">
      <c r="A1241" s="11" t="s">
        <v>12</v>
      </c>
      <c r="B1241" s="11" t="s">
        <v>13</v>
      </c>
      <c r="C1241" s="9" t="s">
        <v>996</v>
      </c>
      <c r="D1241" s="9" t="s">
        <v>16</v>
      </c>
      <c r="E1241" s="10" t="s">
        <v>14</v>
      </c>
      <c r="F1241" s="6">
        <v>0.0</v>
      </c>
      <c r="G1241" s="7">
        <v>0.0</v>
      </c>
      <c r="H1241" s="12">
        <v>0.0</v>
      </c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</row>
    <row r="1242">
      <c r="A1242" s="11" t="s">
        <v>12</v>
      </c>
      <c r="B1242" s="11" t="s">
        <v>13</v>
      </c>
      <c r="C1242" s="9" t="s">
        <v>997</v>
      </c>
      <c r="D1242" s="9" t="s">
        <v>16</v>
      </c>
      <c r="E1242" s="10" t="s">
        <v>14</v>
      </c>
      <c r="F1242" s="6">
        <v>0.0</v>
      </c>
      <c r="G1242" s="7">
        <v>0.0</v>
      </c>
      <c r="H1242" s="12">
        <v>0.0</v>
      </c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</row>
    <row r="1243">
      <c r="A1243" s="11" t="s">
        <v>7</v>
      </c>
      <c r="B1243" s="11" t="s">
        <v>13</v>
      </c>
      <c r="C1243" s="9" t="s">
        <v>998</v>
      </c>
      <c r="D1243" s="9" t="s">
        <v>16</v>
      </c>
      <c r="E1243" s="10" t="s">
        <v>14</v>
      </c>
      <c r="F1243" s="6">
        <v>0.0</v>
      </c>
      <c r="G1243" s="7">
        <v>0.0</v>
      </c>
      <c r="H1243" s="12" t="str">
        <f t="array" ref="H1243">XLOOKUP(C:C,Sheet3!A:A,Sheet3!B:B)</f>
        <v>#N/A</v>
      </c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</row>
    <row r="1244">
      <c r="A1244" s="11" t="s">
        <v>7</v>
      </c>
      <c r="B1244" s="11" t="s">
        <v>13</v>
      </c>
      <c r="C1244" s="9" t="s">
        <v>999</v>
      </c>
      <c r="D1244" s="9" t="s">
        <v>26</v>
      </c>
      <c r="E1244" s="9" t="s">
        <v>49</v>
      </c>
      <c r="F1244" s="6">
        <v>200000.0</v>
      </c>
      <c r="G1244" s="7">
        <v>0.0</v>
      </c>
      <c r="H1244" s="12" t="str">
        <f t="array" ref="H1244">XLOOKUP(C:C,Sheet3!A:A,Sheet3!B:B)</f>
        <v>#N/A</v>
      </c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</row>
    <row r="1245">
      <c r="A1245" s="11" t="s">
        <v>12</v>
      </c>
      <c r="B1245" s="11" t="s">
        <v>13</v>
      </c>
      <c r="C1245" s="9" t="s">
        <v>999</v>
      </c>
      <c r="D1245" s="9" t="s">
        <v>26</v>
      </c>
      <c r="E1245" s="9" t="s">
        <v>49</v>
      </c>
      <c r="F1245" s="6">
        <v>500000.0</v>
      </c>
      <c r="G1245" s="7">
        <v>245281.0</v>
      </c>
      <c r="H1245" s="12" t="str">
        <f t="array" ref="H1245">XLOOKUP(C:C,Sheet3!A:A,Sheet3!B:B)</f>
        <v>#N/A</v>
      </c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</row>
    <row r="1246">
      <c r="A1246" s="11" t="s">
        <v>12</v>
      </c>
      <c r="B1246" s="11" t="s">
        <v>13</v>
      </c>
      <c r="C1246" s="9" t="s">
        <v>1000</v>
      </c>
      <c r="D1246" s="9" t="s">
        <v>16</v>
      </c>
      <c r="E1246" s="10" t="s">
        <v>14</v>
      </c>
      <c r="F1246" s="6">
        <v>0.0</v>
      </c>
      <c r="G1246" s="7">
        <v>0.0</v>
      </c>
      <c r="H1246" s="12">
        <v>0.0</v>
      </c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</row>
    <row r="1247">
      <c r="A1247" s="11" t="s">
        <v>12</v>
      </c>
      <c r="B1247" s="11" t="s">
        <v>13</v>
      </c>
      <c r="C1247" s="9" t="s">
        <v>1001</v>
      </c>
      <c r="D1247" s="9" t="s">
        <v>16</v>
      </c>
      <c r="E1247" s="9" t="s">
        <v>17</v>
      </c>
      <c r="F1247" s="6">
        <v>70000.0</v>
      </c>
      <c r="G1247" s="7">
        <v>66788.0</v>
      </c>
      <c r="H1247" s="12" t="str">
        <f t="array" ref="H1247">XLOOKUP(C:C,Sheet3!A:A,Sheet3!B:B)</f>
        <v>#N/A</v>
      </c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</row>
    <row r="1248">
      <c r="A1248" s="11" t="s">
        <v>7</v>
      </c>
      <c r="B1248" s="11" t="s">
        <v>13</v>
      </c>
      <c r="C1248" s="9" t="s">
        <v>1002</v>
      </c>
      <c r="D1248" s="9" t="s">
        <v>88</v>
      </c>
      <c r="E1248" s="9" t="s">
        <v>144</v>
      </c>
      <c r="F1248" s="6">
        <v>1050000.0</v>
      </c>
      <c r="G1248" s="7">
        <v>0.0</v>
      </c>
      <c r="H1248" s="12" t="str">
        <f t="array" ref="H1248">XLOOKUP(C:C,Sheet3!A:A,Sheet3!B:B)</f>
        <v>#N/A</v>
      </c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</row>
    <row r="1249">
      <c r="A1249" s="11" t="s">
        <v>12</v>
      </c>
      <c r="B1249" s="11" t="s">
        <v>13</v>
      </c>
      <c r="C1249" s="9" t="s">
        <v>1002</v>
      </c>
      <c r="D1249" s="9" t="s">
        <v>88</v>
      </c>
      <c r="E1249" s="9" t="s">
        <v>49</v>
      </c>
      <c r="F1249" s="6">
        <v>1050000.0</v>
      </c>
      <c r="G1249" s="7">
        <v>105020.0</v>
      </c>
      <c r="H1249" s="12" t="str">
        <f t="array" ref="H1249">XLOOKUP(C:C,Sheet3!A:A,Sheet3!B:B)</f>
        <v>#N/A</v>
      </c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</row>
    <row r="1250">
      <c r="A1250" s="11" t="s">
        <v>7</v>
      </c>
      <c r="B1250" s="11" t="s">
        <v>13</v>
      </c>
      <c r="C1250" s="9" t="s">
        <v>1003</v>
      </c>
      <c r="D1250" s="9" t="s">
        <v>16</v>
      </c>
      <c r="E1250" s="9" t="s">
        <v>1004</v>
      </c>
      <c r="F1250" s="6">
        <v>350000.0</v>
      </c>
      <c r="G1250" s="7">
        <v>0.0</v>
      </c>
      <c r="H1250" s="12" t="str">
        <f t="array" ref="H1250">XLOOKUP(C:C,Sheet3!A:A,Sheet3!B:B)</f>
        <v>#N/A</v>
      </c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</row>
    <row r="1251">
      <c r="A1251" s="11" t="s">
        <v>12</v>
      </c>
      <c r="B1251" s="11" t="s">
        <v>13</v>
      </c>
      <c r="C1251" s="9" t="s">
        <v>1003</v>
      </c>
      <c r="D1251" s="9" t="s">
        <v>16</v>
      </c>
      <c r="E1251" s="9" t="s">
        <v>187</v>
      </c>
      <c r="F1251" s="6">
        <v>465000.0</v>
      </c>
      <c r="G1251" s="7">
        <v>565584.0</v>
      </c>
      <c r="H1251" s="12" t="str">
        <f t="array" ref="H1251">XLOOKUP(C:C,Sheet3!A:A,Sheet3!B:B)</f>
        <v>#N/A</v>
      </c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</row>
    <row r="1252">
      <c r="A1252" s="11" t="s">
        <v>12</v>
      </c>
      <c r="B1252" s="11" t="s">
        <v>13</v>
      </c>
      <c r="C1252" s="9" t="s">
        <v>1005</v>
      </c>
      <c r="D1252" s="9" t="s">
        <v>16</v>
      </c>
      <c r="E1252" s="10" t="s">
        <v>14</v>
      </c>
      <c r="F1252" s="6">
        <v>0.0</v>
      </c>
      <c r="G1252" s="7">
        <v>0.0</v>
      </c>
      <c r="H1252" s="12">
        <v>0.0</v>
      </c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</row>
    <row r="1253">
      <c r="A1253" s="11" t="s">
        <v>12</v>
      </c>
      <c r="B1253" s="11" t="s">
        <v>13</v>
      </c>
      <c r="C1253" s="9" t="s">
        <v>1006</v>
      </c>
      <c r="D1253" s="9" t="s">
        <v>16</v>
      </c>
      <c r="E1253" s="10" t="s">
        <v>14</v>
      </c>
      <c r="F1253" s="6">
        <v>1.0</v>
      </c>
      <c r="G1253" s="7">
        <v>0.0</v>
      </c>
      <c r="H1253" s="12">
        <v>0.0</v>
      </c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</row>
    <row r="1254">
      <c r="A1254" s="11" t="s">
        <v>12</v>
      </c>
      <c r="B1254" s="11" t="s">
        <v>13</v>
      </c>
      <c r="C1254" s="9" t="s">
        <v>1007</v>
      </c>
      <c r="D1254" s="9" t="s">
        <v>16</v>
      </c>
      <c r="E1254" s="10" t="s">
        <v>14</v>
      </c>
      <c r="F1254" s="6">
        <v>557000.0</v>
      </c>
      <c r="G1254" s="7">
        <v>0.0</v>
      </c>
      <c r="H1254" s="12" t="str">
        <f t="array" ref="H1254">XLOOKUP(C:C,Sheet3!A:A,Sheet3!B:B)</f>
        <v>#N/A</v>
      </c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</row>
    <row r="1255">
      <c r="A1255" s="11" t="s">
        <v>12</v>
      </c>
      <c r="B1255" s="11" t="s">
        <v>8</v>
      </c>
      <c r="C1255" s="9" t="s">
        <v>1007</v>
      </c>
      <c r="D1255" s="9" t="s">
        <v>16</v>
      </c>
      <c r="E1255" s="10" t="s">
        <v>14</v>
      </c>
      <c r="F1255" s="6">
        <v>1300000.0</v>
      </c>
      <c r="G1255" s="7">
        <v>0.0</v>
      </c>
      <c r="H1255" s="12" t="str">
        <f t="array" ref="H1255">XLOOKUP(C:C,Sheet3!A:A,Sheet3!B:B)</f>
        <v>#N/A</v>
      </c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</row>
    <row r="1256">
      <c r="A1256" s="11" t="s">
        <v>12</v>
      </c>
      <c r="B1256" s="11" t="s">
        <v>13</v>
      </c>
      <c r="C1256" s="9" t="s">
        <v>1008</v>
      </c>
      <c r="D1256" s="9" t="s">
        <v>16</v>
      </c>
      <c r="E1256" s="10" t="s">
        <v>14</v>
      </c>
      <c r="F1256" s="6">
        <v>100000.0</v>
      </c>
      <c r="G1256" s="7">
        <v>53906.0</v>
      </c>
      <c r="H1256" s="12" t="str">
        <f t="array" ref="H1256">XLOOKUP(C:C,Sheet3!A:A,Sheet3!B:B)</f>
        <v>#N/A</v>
      </c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</row>
    <row r="1257">
      <c r="A1257" s="11" t="s">
        <v>12</v>
      </c>
      <c r="B1257" s="11" t="s">
        <v>13</v>
      </c>
      <c r="C1257" s="9" t="s">
        <v>1009</v>
      </c>
      <c r="D1257" s="9" t="s">
        <v>16</v>
      </c>
      <c r="E1257" s="9" t="s">
        <v>49</v>
      </c>
      <c r="F1257" s="6">
        <v>200000.0</v>
      </c>
      <c r="G1257" s="7">
        <v>0.0</v>
      </c>
      <c r="H1257" s="12" t="str">
        <f t="array" ref="H1257">XLOOKUP(C:C,Sheet3!A:A,Sheet3!B:B)</f>
        <v>#N/A</v>
      </c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</row>
    <row r="1258">
      <c r="A1258" s="11" t="s">
        <v>7</v>
      </c>
      <c r="B1258" s="11" t="s">
        <v>13</v>
      </c>
      <c r="C1258" s="9" t="s">
        <v>1010</v>
      </c>
      <c r="D1258" s="9" t="s">
        <v>88</v>
      </c>
      <c r="E1258" s="9" t="s">
        <v>144</v>
      </c>
      <c r="F1258" s="6">
        <v>3050000.0</v>
      </c>
      <c r="G1258" s="7">
        <v>0.0</v>
      </c>
      <c r="H1258" s="12" t="str">
        <f t="array" ref="H1258">XLOOKUP(C:C,Sheet3!A:A,Sheet3!B:B)</f>
        <v>#N/A</v>
      </c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</row>
    <row r="1259">
      <c r="A1259" s="11" t="s">
        <v>12</v>
      </c>
      <c r="B1259" s="11" t="s">
        <v>13</v>
      </c>
      <c r="C1259" s="9" t="s">
        <v>1010</v>
      </c>
      <c r="D1259" s="9" t="s">
        <v>88</v>
      </c>
      <c r="E1259" s="9" t="s">
        <v>49</v>
      </c>
      <c r="F1259" s="6">
        <v>3050000.0</v>
      </c>
      <c r="G1259" s="7">
        <v>306918.0</v>
      </c>
      <c r="H1259" s="12" t="str">
        <f t="array" ref="H1259">XLOOKUP(C:C,Sheet3!A:A,Sheet3!B:B)</f>
        <v>#N/A</v>
      </c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</row>
    <row r="1260">
      <c r="A1260" s="11" t="s">
        <v>12</v>
      </c>
      <c r="B1260" s="11" t="s">
        <v>13</v>
      </c>
      <c r="C1260" s="9" t="s">
        <v>1011</v>
      </c>
      <c r="D1260" s="9" t="s">
        <v>16</v>
      </c>
      <c r="E1260" s="10" t="s">
        <v>14</v>
      </c>
      <c r="F1260" s="6">
        <v>0.0</v>
      </c>
      <c r="G1260" s="7">
        <v>136500.0</v>
      </c>
      <c r="H1260" s="12" t="str">
        <f t="array" ref="H1260">XLOOKUP(C:C,Sheet3!A:A,Sheet3!B:B)</f>
        <v>#N/A</v>
      </c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</row>
    <row r="1261">
      <c r="A1261" s="11" t="s">
        <v>7</v>
      </c>
      <c r="B1261" s="11" t="s">
        <v>13</v>
      </c>
      <c r="C1261" s="9" t="s">
        <v>1012</v>
      </c>
      <c r="D1261" s="9" t="s">
        <v>419</v>
      </c>
      <c r="E1261" s="9" t="s">
        <v>950</v>
      </c>
      <c r="F1261" s="6">
        <v>200000.0</v>
      </c>
      <c r="G1261" s="7">
        <v>0.0</v>
      </c>
      <c r="H1261" s="12" t="str">
        <f t="array" ref="H1261">XLOOKUP(C:C,Sheet3!A:A,Sheet3!B:B)</f>
        <v>#N/A</v>
      </c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</row>
    <row r="1262">
      <c r="A1262" s="11" t="s">
        <v>12</v>
      </c>
      <c r="B1262" s="11" t="s">
        <v>13</v>
      </c>
      <c r="C1262" s="9" t="s">
        <v>1012</v>
      </c>
      <c r="D1262" s="9" t="s">
        <v>419</v>
      </c>
      <c r="E1262" s="9" t="s">
        <v>951</v>
      </c>
      <c r="F1262" s="6">
        <v>200000.0</v>
      </c>
      <c r="G1262" s="7">
        <v>0.0</v>
      </c>
      <c r="H1262" s="12" t="str">
        <f t="array" ref="H1262">XLOOKUP(C:C,Sheet3!A:A,Sheet3!B:B)</f>
        <v>#N/A</v>
      </c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</row>
    <row r="1263">
      <c r="A1263" s="11" t="s">
        <v>12</v>
      </c>
      <c r="B1263" s="11" t="s">
        <v>13</v>
      </c>
      <c r="C1263" s="9" t="s">
        <v>1013</v>
      </c>
      <c r="D1263" s="9" t="s">
        <v>16</v>
      </c>
      <c r="E1263" s="9" t="s">
        <v>49</v>
      </c>
      <c r="F1263" s="6">
        <v>500000.0</v>
      </c>
      <c r="G1263" s="7">
        <v>29058.0</v>
      </c>
      <c r="H1263" s="12" t="str">
        <f t="array" ref="H1263">XLOOKUP(C:C,Sheet3!A:A,Sheet3!B:B)</f>
        <v>#N/A</v>
      </c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</row>
    <row r="1264">
      <c r="A1264" s="11" t="s">
        <v>12</v>
      </c>
      <c r="B1264" s="11" t="s">
        <v>13</v>
      </c>
      <c r="C1264" s="9" t="s">
        <v>1014</v>
      </c>
      <c r="D1264" s="9" t="s">
        <v>16</v>
      </c>
      <c r="E1264" s="10" t="s">
        <v>14</v>
      </c>
      <c r="F1264" s="6">
        <v>0.0</v>
      </c>
      <c r="G1264" s="7">
        <v>0.0</v>
      </c>
      <c r="H1264" s="12">
        <v>0.0</v>
      </c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</row>
    <row r="1265">
      <c r="A1265" s="11" t="s">
        <v>7</v>
      </c>
      <c r="B1265" s="11" t="s">
        <v>13</v>
      </c>
      <c r="C1265" s="9" t="s">
        <v>1015</v>
      </c>
      <c r="D1265" s="9" t="s">
        <v>32</v>
      </c>
      <c r="E1265" s="9" t="s">
        <v>173</v>
      </c>
      <c r="F1265" s="6">
        <v>3000000.0</v>
      </c>
      <c r="G1265" s="7">
        <v>0.0</v>
      </c>
      <c r="H1265" s="12" t="str">
        <f t="array" ref="H1265">XLOOKUP(C:C,Sheet3!A:A,Sheet3!B:B)</f>
        <v>#N/A</v>
      </c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</row>
    <row r="1266">
      <c r="A1266" s="11" t="s">
        <v>12</v>
      </c>
      <c r="B1266" s="11" t="s">
        <v>13</v>
      </c>
      <c r="C1266" s="9" t="s">
        <v>1015</v>
      </c>
      <c r="D1266" s="9" t="s">
        <v>32</v>
      </c>
      <c r="E1266" s="9" t="s">
        <v>11</v>
      </c>
      <c r="F1266" s="6">
        <v>3200000.0</v>
      </c>
      <c r="G1266" s="7">
        <v>857000.0</v>
      </c>
      <c r="H1266" s="12" t="str">
        <f t="array" ref="H1266">XLOOKUP(C:C,Sheet3!A:A,Sheet3!B:B)</f>
        <v>#N/A</v>
      </c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</row>
    <row r="1267">
      <c r="A1267" s="11" t="s">
        <v>7</v>
      </c>
      <c r="B1267" s="11" t="s">
        <v>13</v>
      </c>
      <c r="C1267" s="9" t="s">
        <v>1016</v>
      </c>
      <c r="D1267" s="9" t="s">
        <v>16</v>
      </c>
      <c r="E1267" s="9" t="s">
        <v>49</v>
      </c>
      <c r="F1267" s="6">
        <v>255000.0</v>
      </c>
      <c r="G1267" s="7">
        <v>0.0</v>
      </c>
      <c r="H1267" s="12" t="str">
        <f t="array" ref="H1267">XLOOKUP(C:C,Sheet3!A:A,Sheet3!B:B)</f>
        <v>#N/A</v>
      </c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</row>
    <row r="1268">
      <c r="A1268" s="11" t="s">
        <v>12</v>
      </c>
      <c r="B1268" s="11" t="s">
        <v>13</v>
      </c>
      <c r="C1268" s="9" t="s">
        <v>1016</v>
      </c>
      <c r="D1268" s="9" t="s">
        <v>16</v>
      </c>
      <c r="E1268" s="9" t="s">
        <v>49</v>
      </c>
      <c r="F1268" s="6">
        <v>289312.0</v>
      </c>
      <c r="G1268" s="7">
        <v>-21000.0</v>
      </c>
      <c r="H1268" s="12" t="str">
        <f t="array" ref="H1268">XLOOKUP(C:C,Sheet3!A:A,Sheet3!B:B)</f>
        <v>#N/A</v>
      </c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</row>
    <row r="1269">
      <c r="A1269" s="11" t="s">
        <v>7</v>
      </c>
      <c r="B1269" s="11" t="s">
        <v>13</v>
      </c>
      <c r="C1269" s="9" t="s">
        <v>1017</v>
      </c>
      <c r="D1269" s="9" t="s">
        <v>32</v>
      </c>
      <c r="E1269" s="9" t="s">
        <v>49</v>
      </c>
      <c r="F1269" s="6">
        <v>500000.0</v>
      </c>
      <c r="G1269" s="7">
        <v>0.0</v>
      </c>
      <c r="H1269" s="12" t="str">
        <f t="array" ref="H1269">XLOOKUP(C:C,Sheet3!A:A,Sheet3!B:B)</f>
        <v>#N/A</v>
      </c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</row>
    <row r="1270">
      <c r="A1270" s="11" t="s">
        <v>12</v>
      </c>
      <c r="B1270" s="11" t="s">
        <v>13</v>
      </c>
      <c r="C1270" s="9" t="s">
        <v>1017</v>
      </c>
      <c r="D1270" s="9" t="s">
        <v>32</v>
      </c>
      <c r="E1270" s="9" t="s">
        <v>49</v>
      </c>
      <c r="F1270" s="6">
        <v>1700000.0</v>
      </c>
      <c r="G1270" s="7">
        <v>668039.2</v>
      </c>
      <c r="H1270" s="12" t="str">
        <f t="array" ref="H1270">XLOOKUP(C:C,Sheet3!A:A,Sheet3!B:B)</f>
        <v>#N/A</v>
      </c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</row>
    <row r="1271">
      <c r="A1271" s="11" t="s">
        <v>12</v>
      </c>
      <c r="B1271" s="11" t="s">
        <v>13</v>
      </c>
      <c r="C1271" s="9" t="s">
        <v>1018</v>
      </c>
      <c r="D1271" s="9" t="s">
        <v>32</v>
      </c>
      <c r="E1271" s="10" t="s">
        <v>14</v>
      </c>
      <c r="F1271" s="6">
        <v>0.0</v>
      </c>
      <c r="G1271" s="7">
        <v>2827500.0</v>
      </c>
      <c r="H1271" s="12" t="str">
        <f t="array" ref="H1271">XLOOKUP(C:C,Sheet3!A:A,Sheet3!B:B)</f>
        <v>#N/A</v>
      </c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</row>
    <row r="1272">
      <c r="A1272" s="11" t="s">
        <v>12</v>
      </c>
      <c r="B1272" s="11" t="s">
        <v>13</v>
      </c>
      <c r="C1272" s="9" t="s">
        <v>1019</v>
      </c>
      <c r="D1272" s="9" t="s">
        <v>16</v>
      </c>
      <c r="E1272" s="10" t="s">
        <v>14</v>
      </c>
      <c r="F1272" s="6">
        <v>0.0</v>
      </c>
      <c r="G1272" s="7">
        <v>0.0</v>
      </c>
      <c r="H1272" s="12">
        <v>0.0</v>
      </c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</row>
    <row r="1273">
      <c r="A1273" s="11" t="s">
        <v>12</v>
      </c>
      <c r="B1273" s="11" t="s">
        <v>13</v>
      </c>
      <c r="C1273" s="9" t="s">
        <v>1020</v>
      </c>
      <c r="D1273" s="9" t="s">
        <v>16</v>
      </c>
      <c r="E1273" s="10" t="s">
        <v>14</v>
      </c>
      <c r="F1273" s="6">
        <v>0.0</v>
      </c>
      <c r="G1273" s="7">
        <v>0.0</v>
      </c>
      <c r="H1273" s="12">
        <v>0.0</v>
      </c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</row>
    <row r="1274">
      <c r="A1274" s="11" t="s">
        <v>12</v>
      </c>
      <c r="B1274" s="11" t="s">
        <v>13</v>
      </c>
      <c r="C1274" s="9" t="s">
        <v>1021</v>
      </c>
      <c r="D1274" s="9" t="s">
        <v>16</v>
      </c>
      <c r="E1274" s="9" t="s">
        <v>49</v>
      </c>
      <c r="F1274" s="6">
        <v>0.0</v>
      </c>
      <c r="G1274" s="7">
        <v>1315448.0</v>
      </c>
      <c r="H1274" s="12" t="str">
        <f t="array" ref="H1274">XLOOKUP(C:C,Sheet3!A:A,Sheet3!B:B)</f>
        <v>#N/A</v>
      </c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</row>
    <row r="1275">
      <c r="A1275" s="11" t="s">
        <v>12</v>
      </c>
      <c r="B1275" s="11" t="s">
        <v>13</v>
      </c>
      <c r="C1275" s="9" t="s">
        <v>1022</v>
      </c>
      <c r="D1275" s="9" t="s">
        <v>16</v>
      </c>
      <c r="E1275" s="9" t="s">
        <v>17</v>
      </c>
      <c r="F1275" s="6">
        <v>0.0</v>
      </c>
      <c r="G1275" s="7">
        <v>0.0</v>
      </c>
      <c r="H1275" s="12">
        <v>0.0</v>
      </c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</row>
    <row r="1276">
      <c r="A1276" s="11" t="s">
        <v>12</v>
      </c>
      <c r="B1276" s="11" t="s">
        <v>13</v>
      </c>
      <c r="C1276" s="9" t="s">
        <v>1023</v>
      </c>
      <c r="D1276" s="9" t="s">
        <v>16</v>
      </c>
      <c r="E1276" s="10" t="s">
        <v>14</v>
      </c>
      <c r="F1276" s="6">
        <v>0.0</v>
      </c>
      <c r="G1276" s="7">
        <v>-472000.0</v>
      </c>
      <c r="H1276" s="12">
        <v>0.0</v>
      </c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</row>
    <row r="1277">
      <c r="A1277" s="11" t="s">
        <v>7</v>
      </c>
      <c r="B1277" s="11" t="s">
        <v>13</v>
      </c>
      <c r="C1277" s="9" t="s">
        <v>1024</v>
      </c>
      <c r="D1277" s="9" t="s">
        <v>48</v>
      </c>
      <c r="E1277" s="10" t="s">
        <v>14</v>
      </c>
      <c r="F1277" s="6">
        <v>0.0</v>
      </c>
      <c r="G1277" s="7">
        <v>0.0</v>
      </c>
      <c r="H1277" s="12" t="str">
        <f t="array" ref="H1277">XLOOKUP(C:C,Sheet3!A:A,Sheet3!B:B)</f>
        <v>#N/A</v>
      </c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</row>
    <row r="1278">
      <c r="A1278" s="11" t="s">
        <v>12</v>
      </c>
      <c r="B1278" s="11" t="s">
        <v>13</v>
      </c>
      <c r="C1278" s="9" t="s">
        <v>1024</v>
      </c>
      <c r="D1278" s="9" t="s">
        <v>48</v>
      </c>
      <c r="E1278" s="9" t="s">
        <v>33</v>
      </c>
      <c r="F1278" s="6">
        <v>1300000.0</v>
      </c>
      <c r="G1278" s="7">
        <v>0.0</v>
      </c>
      <c r="H1278" s="12" t="str">
        <f t="array" ref="H1278">XLOOKUP(C:C,Sheet3!A:A,Sheet3!B:B)</f>
        <v>#N/A</v>
      </c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</row>
    <row r="1279">
      <c r="A1279" s="11" t="s">
        <v>12</v>
      </c>
      <c r="B1279" s="11" t="s">
        <v>13</v>
      </c>
      <c r="C1279" s="9" t="s">
        <v>1025</v>
      </c>
      <c r="D1279" s="9" t="s">
        <v>48</v>
      </c>
      <c r="E1279" s="10" t="s">
        <v>14</v>
      </c>
      <c r="F1279" s="6">
        <v>0.0</v>
      </c>
      <c r="G1279" s="7">
        <v>-7147850.0</v>
      </c>
      <c r="H1279" s="12" t="str">
        <f t="array" ref="H1279">XLOOKUP(C:C,Sheet3!A:A,Sheet3!B:B)</f>
        <v>#N/A</v>
      </c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</row>
    <row r="1280">
      <c r="A1280" s="11" t="s">
        <v>12</v>
      </c>
      <c r="B1280" s="11" t="s">
        <v>13</v>
      </c>
      <c r="C1280" s="9" t="s">
        <v>1026</v>
      </c>
      <c r="D1280" s="9" t="s">
        <v>16</v>
      </c>
      <c r="E1280" s="10" t="s">
        <v>14</v>
      </c>
      <c r="F1280" s="6">
        <v>0.0</v>
      </c>
      <c r="G1280" s="7">
        <v>0.0</v>
      </c>
      <c r="H1280" s="12">
        <v>0.0</v>
      </c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</row>
    <row r="1281">
      <c r="A1281" s="11" t="s">
        <v>7</v>
      </c>
      <c r="B1281" s="11" t="s">
        <v>13</v>
      </c>
      <c r="C1281" s="9" t="s">
        <v>1027</v>
      </c>
      <c r="D1281" s="9" t="s">
        <v>16</v>
      </c>
      <c r="E1281" s="10" t="s">
        <v>14</v>
      </c>
      <c r="F1281" s="6">
        <v>0.0</v>
      </c>
      <c r="G1281" s="7">
        <v>0.0</v>
      </c>
      <c r="H1281" s="12" t="str">
        <f t="array" ref="H1281">XLOOKUP(C:C,Sheet3!A:A,Sheet3!B:B)</f>
        <v>#N/A</v>
      </c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</row>
    <row r="1282">
      <c r="A1282" s="11" t="s">
        <v>12</v>
      </c>
      <c r="B1282" s="11" t="s">
        <v>13</v>
      </c>
      <c r="C1282" s="9" t="s">
        <v>1027</v>
      </c>
      <c r="D1282" s="9" t="s">
        <v>16</v>
      </c>
      <c r="E1282" s="9" t="s">
        <v>11</v>
      </c>
      <c r="F1282" s="6">
        <v>3600000.0</v>
      </c>
      <c r="G1282" s="7">
        <v>1033959.0</v>
      </c>
      <c r="H1282" s="12" t="str">
        <f t="array" ref="H1282">XLOOKUP(C:C,Sheet3!A:A,Sheet3!B:B)</f>
        <v>#N/A</v>
      </c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</row>
    <row r="1283">
      <c r="A1283" s="11" t="s">
        <v>12</v>
      </c>
      <c r="B1283" s="11" t="s">
        <v>13</v>
      </c>
      <c r="C1283" s="9" t="s">
        <v>1028</v>
      </c>
      <c r="D1283" s="9" t="s">
        <v>16</v>
      </c>
      <c r="E1283" s="10" t="s">
        <v>14</v>
      </c>
      <c r="F1283" s="6">
        <v>0.0</v>
      </c>
      <c r="G1283" s="7">
        <v>1338000.0</v>
      </c>
      <c r="H1283" s="12" t="str">
        <f t="array" ref="H1283">XLOOKUP(C:C,Sheet3!A:A,Sheet3!B:B)</f>
        <v>#N/A</v>
      </c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</row>
    <row r="1284">
      <c r="A1284" s="11" t="s">
        <v>7</v>
      </c>
      <c r="B1284" s="11" t="s">
        <v>13</v>
      </c>
      <c r="C1284" s="9" t="s">
        <v>1029</v>
      </c>
      <c r="D1284" s="9" t="s">
        <v>16</v>
      </c>
      <c r="E1284" s="9" t="s">
        <v>223</v>
      </c>
      <c r="F1284" s="6">
        <v>5100000.0</v>
      </c>
      <c r="G1284" s="7">
        <v>0.0</v>
      </c>
      <c r="H1284" s="12">
        <v>0.0</v>
      </c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</row>
    <row r="1285">
      <c r="A1285" s="11" t="s">
        <v>7</v>
      </c>
      <c r="B1285" s="11" t="s">
        <v>13</v>
      </c>
      <c r="C1285" s="9" t="s">
        <v>1030</v>
      </c>
      <c r="D1285" s="9" t="s">
        <v>83</v>
      </c>
      <c r="E1285" s="10" t="s">
        <v>14</v>
      </c>
      <c r="F1285" s="6">
        <v>0.0</v>
      </c>
      <c r="G1285" s="7">
        <v>0.0</v>
      </c>
      <c r="H1285" s="12" t="str">
        <f t="array" ref="H1285">XLOOKUP(C:C,Sheet3!A:A,Sheet3!B:B)</f>
        <v>#N/A</v>
      </c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</row>
    <row r="1286">
      <c r="A1286" s="11" t="s">
        <v>12</v>
      </c>
      <c r="B1286" s="11" t="s">
        <v>13</v>
      </c>
      <c r="C1286" s="9" t="s">
        <v>1030</v>
      </c>
      <c r="D1286" s="9" t="s">
        <v>83</v>
      </c>
      <c r="E1286" s="9" t="s">
        <v>96</v>
      </c>
      <c r="F1286" s="6">
        <v>2900000.0</v>
      </c>
      <c r="G1286" s="7">
        <v>0.0</v>
      </c>
      <c r="H1286" s="12" t="str">
        <f t="array" ref="H1286">XLOOKUP(C:C,Sheet3!A:A,Sheet3!B:B)</f>
        <v>#N/A</v>
      </c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</row>
    <row r="1287">
      <c r="A1287" s="11" t="s">
        <v>12</v>
      </c>
      <c r="B1287" s="11" t="s">
        <v>13</v>
      </c>
      <c r="C1287" s="9" t="s">
        <v>1031</v>
      </c>
      <c r="D1287" s="9" t="s">
        <v>16</v>
      </c>
      <c r="E1287" s="10" t="s">
        <v>14</v>
      </c>
      <c r="F1287" s="6">
        <v>0.0</v>
      </c>
      <c r="G1287" s="7">
        <v>0.0</v>
      </c>
      <c r="H1287" s="12" t="str">
        <f t="array" ref="H1287">XLOOKUP(C:C,Sheet3!A:A,Sheet3!B:B)</f>
        <v>#N/A</v>
      </c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</row>
    <row r="1288">
      <c r="A1288" s="11" t="s">
        <v>12</v>
      </c>
      <c r="B1288" s="11" t="s">
        <v>13</v>
      </c>
      <c r="C1288" s="9" t="s">
        <v>1032</v>
      </c>
      <c r="D1288" s="9" t="s">
        <v>83</v>
      </c>
      <c r="E1288" s="9" t="s">
        <v>96</v>
      </c>
      <c r="F1288" s="6">
        <v>5100000.0</v>
      </c>
      <c r="G1288" s="7">
        <v>2812429.4</v>
      </c>
      <c r="H1288" s="12" t="str">
        <f t="array" ref="H1288">XLOOKUP(C:C,Sheet3!A:A,Sheet3!B:B)</f>
        <v>#N/A</v>
      </c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</row>
    <row r="1289">
      <c r="A1289" s="11" t="s">
        <v>12</v>
      </c>
      <c r="B1289" s="11" t="s">
        <v>13</v>
      </c>
      <c r="C1289" s="9" t="s">
        <v>1033</v>
      </c>
      <c r="D1289" s="9" t="s">
        <v>16</v>
      </c>
      <c r="E1289" s="10" t="s">
        <v>14</v>
      </c>
      <c r="F1289" s="6">
        <v>0.0</v>
      </c>
      <c r="G1289" s="7">
        <v>0.0</v>
      </c>
      <c r="H1289" s="12">
        <v>0.0</v>
      </c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</row>
    <row r="1290">
      <c r="A1290" s="11" t="s">
        <v>12</v>
      </c>
      <c r="B1290" s="11" t="s">
        <v>13</v>
      </c>
      <c r="C1290" s="9" t="s">
        <v>1034</v>
      </c>
      <c r="D1290" s="9" t="s">
        <v>16</v>
      </c>
      <c r="E1290" s="10" t="s">
        <v>14</v>
      </c>
      <c r="F1290" s="6">
        <v>0.0</v>
      </c>
      <c r="G1290" s="7">
        <v>250000.0</v>
      </c>
      <c r="H1290" s="12">
        <v>0.0</v>
      </c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</row>
    <row r="1291">
      <c r="A1291" s="11" t="s">
        <v>12</v>
      </c>
      <c r="B1291" s="11" t="s">
        <v>13</v>
      </c>
      <c r="C1291" s="9" t="s">
        <v>1035</v>
      </c>
      <c r="D1291" s="9" t="s">
        <v>16</v>
      </c>
      <c r="E1291" s="10" t="s">
        <v>14</v>
      </c>
      <c r="F1291" s="6">
        <v>0.0</v>
      </c>
      <c r="G1291" s="7">
        <v>0.0</v>
      </c>
      <c r="H1291" s="12">
        <v>0.0</v>
      </c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</row>
    <row r="1292">
      <c r="A1292" s="11" t="s">
        <v>7</v>
      </c>
      <c r="B1292" s="11" t="s">
        <v>13</v>
      </c>
      <c r="C1292" s="9" t="s">
        <v>1036</v>
      </c>
      <c r="D1292" s="9" t="s">
        <v>16</v>
      </c>
      <c r="E1292" s="9" t="s">
        <v>49</v>
      </c>
      <c r="F1292" s="6">
        <v>300000.0</v>
      </c>
      <c r="G1292" s="7">
        <v>0.0</v>
      </c>
      <c r="H1292" s="12">
        <v>0.0</v>
      </c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</row>
    <row r="1293">
      <c r="A1293" s="11" t="s">
        <v>12</v>
      </c>
      <c r="B1293" s="11" t="s">
        <v>13</v>
      </c>
      <c r="C1293" s="9" t="s">
        <v>1036</v>
      </c>
      <c r="D1293" s="9" t="s">
        <v>16</v>
      </c>
      <c r="E1293" s="9" t="s">
        <v>49</v>
      </c>
      <c r="F1293" s="6">
        <v>500000.0</v>
      </c>
      <c r="G1293" s="7">
        <v>-100000.0</v>
      </c>
      <c r="H1293" s="12">
        <v>0.0</v>
      </c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</row>
    <row r="1294">
      <c r="A1294" s="11" t="s">
        <v>12</v>
      </c>
      <c r="B1294" s="11" t="s">
        <v>13</v>
      </c>
      <c r="C1294" s="9" t="s">
        <v>1037</v>
      </c>
      <c r="D1294" s="9" t="s">
        <v>16</v>
      </c>
      <c r="E1294" s="10" t="s">
        <v>14</v>
      </c>
      <c r="F1294" s="6">
        <v>0.0</v>
      </c>
      <c r="G1294" s="7">
        <v>0.0</v>
      </c>
      <c r="H1294" s="12">
        <v>0.0</v>
      </c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</row>
    <row r="1295">
      <c r="A1295" s="11" t="s">
        <v>7</v>
      </c>
      <c r="B1295" s="11" t="s">
        <v>13</v>
      </c>
      <c r="C1295" s="9" t="s">
        <v>1038</v>
      </c>
      <c r="D1295" s="9" t="s">
        <v>419</v>
      </c>
      <c r="E1295" s="9" t="s">
        <v>23</v>
      </c>
      <c r="F1295" s="6">
        <v>875000.0</v>
      </c>
      <c r="G1295" s="7">
        <v>0.0</v>
      </c>
      <c r="H1295" s="12" t="str">
        <f t="array" ref="H1295">XLOOKUP(C:C,Sheet3!A:A,Sheet3!B:B)</f>
        <v>#N/A</v>
      </c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</row>
    <row r="1296">
      <c r="A1296" s="11" t="s">
        <v>12</v>
      </c>
      <c r="B1296" s="11" t="s">
        <v>13</v>
      </c>
      <c r="C1296" s="9" t="s">
        <v>1038</v>
      </c>
      <c r="D1296" s="9" t="s">
        <v>419</v>
      </c>
      <c r="E1296" s="9" t="s">
        <v>17</v>
      </c>
      <c r="F1296" s="6">
        <v>875000.0</v>
      </c>
      <c r="G1296" s="7">
        <v>0.0</v>
      </c>
      <c r="H1296" s="12" t="str">
        <f t="array" ref="H1296">XLOOKUP(C:C,Sheet3!A:A,Sheet3!B:B)</f>
        <v>#N/A</v>
      </c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</row>
    <row r="1297">
      <c r="A1297" s="11" t="s">
        <v>7</v>
      </c>
      <c r="B1297" s="11" t="s">
        <v>13</v>
      </c>
      <c r="C1297" s="9" t="s">
        <v>1039</v>
      </c>
      <c r="D1297" s="9" t="s">
        <v>48</v>
      </c>
      <c r="E1297" s="9" t="s">
        <v>144</v>
      </c>
      <c r="F1297" s="6">
        <v>800000.0</v>
      </c>
      <c r="G1297" s="7">
        <v>0.0</v>
      </c>
      <c r="H1297" s="12" t="str">
        <f t="array" ref="H1297">XLOOKUP(C:C,Sheet3!A:A,Sheet3!B:B)</f>
        <v>#N/A</v>
      </c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</row>
    <row r="1298">
      <c r="A1298" s="11" t="s">
        <v>12</v>
      </c>
      <c r="B1298" s="11" t="s">
        <v>13</v>
      </c>
      <c r="C1298" s="9" t="s">
        <v>1039</v>
      </c>
      <c r="D1298" s="9" t="s">
        <v>48</v>
      </c>
      <c r="E1298" s="9" t="s">
        <v>49</v>
      </c>
      <c r="F1298" s="6">
        <v>1650000.0</v>
      </c>
      <c r="G1298" s="7">
        <v>511032.0</v>
      </c>
      <c r="H1298" s="12" t="str">
        <f t="array" ref="H1298">XLOOKUP(C:C,Sheet3!A:A,Sheet3!B:B)</f>
        <v>#N/A</v>
      </c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</row>
    <row r="1299">
      <c r="A1299" s="11" t="s">
        <v>12</v>
      </c>
      <c r="B1299" s="11" t="s">
        <v>8</v>
      </c>
      <c r="C1299" s="9" t="s">
        <v>1039</v>
      </c>
      <c r="D1299" s="9" t="s">
        <v>48</v>
      </c>
      <c r="E1299" s="10" t="s">
        <v>14</v>
      </c>
      <c r="F1299" s="6">
        <v>500.0</v>
      </c>
      <c r="G1299" s="7">
        <v>330120.0</v>
      </c>
      <c r="H1299" s="12" t="str">
        <f t="array" ref="H1299">XLOOKUP(C:C,Sheet3!A:A,Sheet3!B:B)</f>
        <v>#N/A</v>
      </c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</row>
    <row r="1300">
      <c r="A1300" s="11" t="s">
        <v>12</v>
      </c>
      <c r="B1300" s="11" t="s">
        <v>13</v>
      </c>
      <c r="C1300" s="9" t="s">
        <v>1040</v>
      </c>
      <c r="D1300" s="9" t="s">
        <v>16</v>
      </c>
      <c r="E1300" s="10" t="s">
        <v>14</v>
      </c>
      <c r="F1300" s="6">
        <v>0.0</v>
      </c>
      <c r="G1300" s="7">
        <v>0.0</v>
      </c>
      <c r="H1300" s="12">
        <v>0.0</v>
      </c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</row>
    <row r="1301">
      <c r="A1301" s="11" t="s">
        <v>12</v>
      </c>
      <c r="B1301" s="11" t="s">
        <v>8</v>
      </c>
      <c r="C1301" s="9" t="s">
        <v>1041</v>
      </c>
      <c r="D1301" s="9" t="s">
        <v>48</v>
      </c>
      <c r="E1301" s="9" t="s">
        <v>49</v>
      </c>
      <c r="F1301" s="6">
        <v>250000.0</v>
      </c>
      <c r="G1301" s="7">
        <v>143193.0</v>
      </c>
      <c r="H1301" s="12" t="str">
        <f t="array" ref="H1301">XLOOKUP(C:C,Sheet3!A:A,Sheet3!B:B)</f>
        <v>#N/A</v>
      </c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</row>
    <row r="1302">
      <c r="A1302" s="11" t="s">
        <v>12</v>
      </c>
      <c r="B1302" s="11" t="s">
        <v>13</v>
      </c>
      <c r="C1302" s="9" t="s">
        <v>1041</v>
      </c>
      <c r="D1302" s="9" t="s">
        <v>48</v>
      </c>
      <c r="E1302" s="9" t="s">
        <v>49</v>
      </c>
      <c r="F1302" s="6">
        <v>700000.0</v>
      </c>
      <c r="G1302" s="7">
        <v>0.0</v>
      </c>
      <c r="H1302" s="12" t="str">
        <f t="array" ref="H1302">XLOOKUP(C:C,Sheet3!A:A,Sheet3!B:B)</f>
        <v>#N/A</v>
      </c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</row>
    <row r="1303">
      <c r="A1303" s="11" t="s">
        <v>7</v>
      </c>
      <c r="B1303" s="11" t="s">
        <v>13</v>
      </c>
      <c r="C1303" s="9" t="s">
        <v>1042</v>
      </c>
      <c r="D1303" s="9" t="s">
        <v>83</v>
      </c>
      <c r="E1303" s="9" t="s">
        <v>144</v>
      </c>
      <c r="F1303" s="6">
        <v>500000.0</v>
      </c>
      <c r="G1303" s="7">
        <v>0.0</v>
      </c>
      <c r="H1303" s="12" t="str">
        <f t="array" ref="H1303">XLOOKUP(C:C,Sheet3!A:A,Sheet3!B:B)</f>
        <v>#N/A</v>
      </c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</row>
    <row r="1304">
      <c r="A1304" s="11" t="s">
        <v>12</v>
      </c>
      <c r="B1304" s="11" t="s">
        <v>13</v>
      </c>
      <c r="C1304" s="9" t="s">
        <v>1042</v>
      </c>
      <c r="D1304" s="9" t="s">
        <v>83</v>
      </c>
      <c r="E1304" s="9" t="s">
        <v>49</v>
      </c>
      <c r="F1304" s="6">
        <v>500000.0</v>
      </c>
      <c r="G1304" s="7">
        <v>144159.0</v>
      </c>
      <c r="H1304" s="12" t="str">
        <f t="array" ref="H1304">XLOOKUP(C:C,Sheet3!A:A,Sheet3!B:B)</f>
        <v>#N/A</v>
      </c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</row>
    <row r="1305">
      <c r="A1305" s="11" t="s">
        <v>12</v>
      </c>
      <c r="B1305" s="11" t="s">
        <v>13</v>
      </c>
      <c r="C1305" s="9" t="s">
        <v>1043</v>
      </c>
      <c r="D1305" s="9" t="s">
        <v>83</v>
      </c>
      <c r="E1305" s="10" t="s">
        <v>14</v>
      </c>
      <c r="F1305" s="6">
        <v>0.0</v>
      </c>
      <c r="G1305" s="7">
        <v>2156000.0</v>
      </c>
      <c r="H1305" s="12" t="str">
        <f t="array" ref="H1305">XLOOKUP(C:C,Sheet3!A:A,Sheet3!B:B)</f>
        <v>#N/A</v>
      </c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</row>
    <row r="1306">
      <c r="A1306" s="11" t="s">
        <v>12</v>
      </c>
      <c r="B1306" s="11" t="s">
        <v>13</v>
      </c>
      <c r="C1306" s="9" t="s">
        <v>1044</v>
      </c>
      <c r="D1306" s="9" t="s">
        <v>16</v>
      </c>
      <c r="E1306" s="10" t="s">
        <v>14</v>
      </c>
      <c r="F1306" s="6">
        <v>0.0</v>
      </c>
      <c r="G1306" s="7">
        <v>0.0</v>
      </c>
      <c r="H1306" s="12" t="str">
        <f t="array" ref="H1306">XLOOKUP(C:C,Sheet3!A:A,Sheet3!B:B)</f>
        <v>#N/A</v>
      </c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</row>
    <row r="1307">
      <c r="A1307" s="11" t="s">
        <v>7</v>
      </c>
      <c r="B1307" s="11" t="s">
        <v>13</v>
      </c>
      <c r="C1307" s="9" t="s">
        <v>1045</v>
      </c>
      <c r="D1307" s="9" t="s">
        <v>32</v>
      </c>
      <c r="E1307" s="9" t="s">
        <v>17</v>
      </c>
      <c r="F1307" s="6">
        <v>500000.0</v>
      </c>
      <c r="G1307" s="7">
        <v>0.0</v>
      </c>
      <c r="H1307" s="12" t="str">
        <f t="array" ref="H1307">XLOOKUP(C:C,Sheet3!A:A,Sheet3!B:B)</f>
        <v>#N/A</v>
      </c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</row>
    <row r="1308">
      <c r="A1308" s="11" t="s">
        <v>12</v>
      </c>
      <c r="B1308" s="11" t="s">
        <v>13</v>
      </c>
      <c r="C1308" s="9" t="s">
        <v>1045</v>
      </c>
      <c r="D1308" s="9" t="s">
        <v>32</v>
      </c>
      <c r="E1308" s="9" t="s">
        <v>17</v>
      </c>
      <c r="F1308" s="6">
        <v>6000000.0</v>
      </c>
      <c r="G1308" s="7">
        <v>1697768.0</v>
      </c>
      <c r="H1308" s="12" t="str">
        <f t="array" ref="H1308">XLOOKUP(C:C,Sheet3!A:A,Sheet3!B:B)</f>
        <v>#N/A</v>
      </c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</row>
    <row r="1309">
      <c r="A1309" s="11" t="s">
        <v>12</v>
      </c>
      <c r="B1309" s="11" t="s">
        <v>13</v>
      </c>
      <c r="C1309" s="9" t="s">
        <v>1046</v>
      </c>
      <c r="D1309" s="9" t="s">
        <v>32</v>
      </c>
      <c r="E1309" s="10" t="s">
        <v>14</v>
      </c>
      <c r="F1309" s="6">
        <v>0.0</v>
      </c>
      <c r="G1309" s="7">
        <v>0.0</v>
      </c>
      <c r="H1309" s="12" t="str">
        <f t="array" ref="H1309">XLOOKUP(C:C,Sheet3!A:A,Sheet3!B:B)</f>
        <v>#N/A</v>
      </c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</row>
    <row r="1310">
      <c r="A1310" s="11" t="s">
        <v>12</v>
      </c>
      <c r="B1310" s="11" t="s">
        <v>13</v>
      </c>
      <c r="C1310" s="9" t="s">
        <v>1047</v>
      </c>
      <c r="D1310" s="9" t="s">
        <v>16</v>
      </c>
      <c r="E1310" s="10" t="s">
        <v>14</v>
      </c>
      <c r="F1310" s="6">
        <v>0.0</v>
      </c>
      <c r="G1310" s="7">
        <v>0.0</v>
      </c>
      <c r="H1310" s="12" t="str">
        <f t="array" ref="H1310">XLOOKUP(C:C,Sheet3!A:A,Sheet3!B:B)</f>
        <v>#N/A</v>
      </c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</row>
    <row r="1311">
      <c r="A1311" s="11" t="s">
        <v>12</v>
      </c>
      <c r="B1311" s="11" t="s">
        <v>13</v>
      </c>
      <c r="C1311" s="9" t="s">
        <v>1048</v>
      </c>
      <c r="D1311" s="9" t="s">
        <v>16</v>
      </c>
      <c r="E1311" s="9" t="s">
        <v>49</v>
      </c>
      <c r="F1311" s="6">
        <v>0.0</v>
      </c>
      <c r="G1311" s="7">
        <v>0.0</v>
      </c>
      <c r="H1311" s="12">
        <v>0.0</v>
      </c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</row>
    <row r="1312">
      <c r="A1312" s="11" t="s">
        <v>12</v>
      </c>
      <c r="B1312" s="11" t="s">
        <v>13</v>
      </c>
      <c r="C1312" s="9" t="s">
        <v>1049</v>
      </c>
      <c r="D1312" s="9" t="s">
        <v>16</v>
      </c>
      <c r="E1312" s="9" t="s">
        <v>49</v>
      </c>
      <c r="F1312" s="6">
        <v>0.0</v>
      </c>
      <c r="G1312" s="7">
        <v>0.0</v>
      </c>
      <c r="H1312" s="12">
        <v>0.0</v>
      </c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</row>
    <row r="1313">
      <c r="A1313" s="11" t="s">
        <v>12</v>
      </c>
      <c r="B1313" s="11" t="s">
        <v>13</v>
      </c>
      <c r="C1313" s="9" t="s">
        <v>1050</v>
      </c>
      <c r="D1313" s="9" t="s">
        <v>16</v>
      </c>
      <c r="E1313" s="10" t="s">
        <v>14</v>
      </c>
      <c r="F1313" s="6">
        <v>0.0</v>
      </c>
      <c r="G1313" s="7">
        <v>0.0</v>
      </c>
      <c r="H1313" s="12">
        <v>0.0</v>
      </c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</row>
    <row r="1314">
      <c r="A1314" s="11" t="s">
        <v>12</v>
      </c>
      <c r="B1314" s="11" t="s">
        <v>13</v>
      </c>
      <c r="C1314" s="9" t="s">
        <v>1051</v>
      </c>
      <c r="D1314" s="9" t="s">
        <v>16</v>
      </c>
      <c r="E1314" s="10" t="s">
        <v>14</v>
      </c>
      <c r="F1314" s="6">
        <v>0.0</v>
      </c>
      <c r="G1314" s="7">
        <v>0.0</v>
      </c>
      <c r="H1314" s="12">
        <v>0.0</v>
      </c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</row>
    <row r="1315">
      <c r="A1315" s="11" t="s">
        <v>7</v>
      </c>
      <c r="B1315" s="11" t="s">
        <v>8</v>
      </c>
      <c r="C1315" s="9" t="s">
        <v>1052</v>
      </c>
      <c r="D1315" s="9" t="s">
        <v>16</v>
      </c>
      <c r="E1315" s="10" t="s">
        <v>14</v>
      </c>
      <c r="F1315" s="6">
        <v>278371.0</v>
      </c>
      <c r="G1315" s="7">
        <v>0.0</v>
      </c>
      <c r="H1315" s="12">
        <v>0.0</v>
      </c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</row>
    <row r="1316">
      <c r="A1316" s="11" t="s">
        <v>7</v>
      </c>
      <c r="B1316" s="11" t="s">
        <v>13</v>
      </c>
      <c r="C1316" s="9" t="s">
        <v>1053</v>
      </c>
      <c r="D1316" s="9" t="s">
        <v>10</v>
      </c>
      <c r="E1316" s="9" t="s">
        <v>49</v>
      </c>
      <c r="F1316" s="6">
        <v>600000.0</v>
      </c>
      <c r="G1316" s="7">
        <v>0.0</v>
      </c>
      <c r="H1316" s="12" t="str">
        <f t="array" ref="H1316">XLOOKUP(C:C,Sheet3!A:A,Sheet3!B:B)</f>
        <v>#N/A</v>
      </c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</row>
    <row r="1317">
      <c r="A1317" s="11" t="s">
        <v>12</v>
      </c>
      <c r="B1317" s="11" t="s">
        <v>13</v>
      </c>
      <c r="C1317" s="9" t="s">
        <v>1053</v>
      </c>
      <c r="D1317" s="9" t="s">
        <v>10</v>
      </c>
      <c r="E1317" s="9" t="s">
        <v>49</v>
      </c>
      <c r="F1317" s="6">
        <v>700000.0</v>
      </c>
      <c r="G1317" s="7">
        <v>34220.0</v>
      </c>
      <c r="H1317" s="12" t="str">
        <f t="array" ref="H1317">XLOOKUP(C:C,Sheet3!A:A,Sheet3!B:B)</f>
        <v>#N/A</v>
      </c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</row>
    <row r="1318">
      <c r="A1318" s="11" t="s">
        <v>12</v>
      </c>
      <c r="B1318" s="11" t="s">
        <v>8</v>
      </c>
      <c r="C1318" s="9" t="s">
        <v>1053</v>
      </c>
      <c r="D1318" s="9" t="s">
        <v>10</v>
      </c>
      <c r="E1318" s="9" t="s">
        <v>49</v>
      </c>
      <c r="F1318" s="6">
        <v>651000.0</v>
      </c>
      <c r="G1318" s="7">
        <v>102010.0</v>
      </c>
      <c r="H1318" s="12" t="str">
        <f t="array" ref="H1318">XLOOKUP(C:C,Sheet3!A:A,Sheet3!B:B)</f>
        <v>#N/A</v>
      </c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</row>
    <row r="1319">
      <c r="A1319" s="11" t="s">
        <v>12</v>
      </c>
      <c r="B1319" s="11" t="s">
        <v>13</v>
      </c>
      <c r="C1319" s="9" t="s">
        <v>1054</v>
      </c>
      <c r="D1319" s="9" t="s">
        <v>16</v>
      </c>
      <c r="E1319" s="10" t="s">
        <v>14</v>
      </c>
      <c r="F1319" s="6">
        <v>0.0</v>
      </c>
      <c r="G1319" s="7">
        <v>0.0</v>
      </c>
      <c r="H1319" s="12">
        <v>0.0</v>
      </c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</row>
    <row r="1320">
      <c r="A1320" s="11" t="s">
        <v>12</v>
      </c>
      <c r="B1320" s="11" t="s">
        <v>13</v>
      </c>
      <c r="C1320" s="9" t="s">
        <v>1055</v>
      </c>
      <c r="D1320" s="9" t="s">
        <v>16</v>
      </c>
      <c r="E1320" s="10" t="s">
        <v>14</v>
      </c>
      <c r="F1320" s="6">
        <v>0.0</v>
      </c>
      <c r="G1320" s="7">
        <v>0.0</v>
      </c>
      <c r="H1320" s="12">
        <v>0.0</v>
      </c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</row>
    <row r="1321">
      <c r="A1321" s="11" t="s">
        <v>12</v>
      </c>
      <c r="B1321" s="11" t="s">
        <v>13</v>
      </c>
      <c r="C1321" s="9" t="s">
        <v>1056</v>
      </c>
      <c r="D1321" s="9" t="s">
        <v>83</v>
      </c>
      <c r="E1321" s="10" t="s">
        <v>14</v>
      </c>
      <c r="F1321" s="6">
        <v>0.0</v>
      </c>
      <c r="G1321" s="7">
        <v>0.0</v>
      </c>
      <c r="H1321" s="12" t="str">
        <f t="array" ref="H1321">XLOOKUP(C:C,Sheet3!A:A,Sheet3!B:B)</f>
        <v>#N/A</v>
      </c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</row>
    <row r="1322">
      <c r="A1322" s="11" t="s">
        <v>12</v>
      </c>
      <c r="B1322" s="11" t="s">
        <v>8</v>
      </c>
      <c r="C1322" s="9" t="s">
        <v>1057</v>
      </c>
      <c r="D1322" s="9" t="s">
        <v>48</v>
      </c>
      <c r="E1322" s="9" t="s">
        <v>11</v>
      </c>
      <c r="F1322" s="6">
        <v>675000.0</v>
      </c>
      <c r="G1322" s="7">
        <v>2289.0</v>
      </c>
      <c r="H1322" s="12" t="str">
        <f t="array" ref="H1322">XLOOKUP(C:C,Sheet3!A:A,Sheet3!B:B)</f>
        <v>#N/A</v>
      </c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</row>
    <row r="1323">
      <c r="A1323" s="11" t="s">
        <v>12</v>
      </c>
      <c r="B1323" s="11" t="s">
        <v>13</v>
      </c>
      <c r="C1323" s="9" t="s">
        <v>1057</v>
      </c>
      <c r="D1323" s="9" t="s">
        <v>48</v>
      </c>
      <c r="E1323" s="10" t="s">
        <v>14</v>
      </c>
      <c r="F1323" s="6">
        <v>30000.0</v>
      </c>
      <c r="G1323" s="7">
        <v>0.0</v>
      </c>
      <c r="H1323" s="12" t="str">
        <f t="array" ref="H1323">XLOOKUP(C:C,Sheet3!A:A,Sheet3!B:B)</f>
        <v>#N/A</v>
      </c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</row>
    <row r="1324">
      <c r="A1324" s="11" t="s">
        <v>12</v>
      </c>
      <c r="B1324" s="11" t="s">
        <v>13</v>
      </c>
      <c r="C1324" s="9" t="s">
        <v>1058</v>
      </c>
      <c r="D1324" s="9" t="s">
        <v>16</v>
      </c>
      <c r="E1324" s="10" t="s">
        <v>14</v>
      </c>
      <c r="F1324" s="6">
        <v>0.0</v>
      </c>
      <c r="G1324" s="7">
        <v>0.0</v>
      </c>
      <c r="H1324" s="12">
        <v>0.0</v>
      </c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</row>
    <row r="1325">
      <c r="A1325" s="11" t="s">
        <v>7</v>
      </c>
      <c r="B1325" s="11" t="s">
        <v>13</v>
      </c>
      <c r="C1325" s="9" t="s">
        <v>1059</v>
      </c>
      <c r="D1325" s="9" t="s">
        <v>32</v>
      </c>
      <c r="E1325" s="9" t="s">
        <v>33</v>
      </c>
      <c r="F1325" s="6">
        <v>70000.0</v>
      </c>
      <c r="G1325" s="7">
        <v>0.0</v>
      </c>
      <c r="H1325" s="12" t="str">
        <f t="array" ref="H1325">XLOOKUP(C:C,Sheet3!A:A,Sheet3!B:B)</f>
        <v>#N/A</v>
      </c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</row>
    <row r="1326">
      <c r="A1326" s="11" t="s">
        <v>12</v>
      </c>
      <c r="B1326" s="11" t="s">
        <v>13</v>
      </c>
      <c r="C1326" s="9" t="s">
        <v>1059</v>
      </c>
      <c r="D1326" s="9" t="s">
        <v>32</v>
      </c>
      <c r="E1326" s="9" t="s">
        <v>49</v>
      </c>
      <c r="F1326" s="6">
        <v>214000.0</v>
      </c>
      <c r="G1326" s="7">
        <v>46492.0</v>
      </c>
      <c r="H1326" s="12" t="str">
        <f t="array" ref="H1326">XLOOKUP(C:C,Sheet3!A:A,Sheet3!B:B)</f>
        <v>#N/A</v>
      </c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</row>
    <row r="1327">
      <c r="A1327" s="11" t="s">
        <v>12</v>
      </c>
      <c r="B1327" s="11" t="s">
        <v>13</v>
      </c>
      <c r="C1327" s="9" t="s">
        <v>1060</v>
      </c>
      <c r="D1327" s="9" t="s">
        <v>16</v>
      </c>
      <c r="E1327" s="10" t="s">
        <v>14</v>
      </c>
      <c r="F1327" s="6">
        <v>0.0</v>
      </c>
      <c r="G1327" s="7">
        <v>0.0</v>
      </c>
      <c r="H1327" s="12">
        <v>0.0</v>
      </c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</row>
    <row r="1328">
      <c r="A1328" s="11" t="s">
        <v>12</v>
      </c>
      <c r="B1328" s="11" t="s">
        <v>13</v>
      </c>
      <c r="C1328" s="9" t="s">
        <v>1061</v>
      </c>
      <c r="D1328" s="9" t="s">
        <v>16</v>
      </c>
      <c r="E1328" s="10" t="s">
        <v>14</v>
      </c>
      <c r="F1328" s="6">
        <v>0.0</v>
      </c>
      <c r="G1328" s="7">
        <v>0.0</v>
      </c>
      <c r="H1328" s="12">
        <v>0.0</v>
      </c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</row>
    <row r="1329">
      <c r="A1329" s="11" t="s">
        <v>12</v>
      </c>
      <c r="B1329" s="11" t="s">
        <v>13</v>
      </c>
      <c r="C1329" s="9" t="s">
        <v>1062</v>
      </c>
      <c r="D1329" s="9" t="s">
        <v>16</v>
      </c>
      <c r="E1329" s="10" t="s">
        <v>14</v>
      </c>
      <c r="F1329" s="6">
        <v>0.0</v>
      </c>
      <c r="G1329" s="7">
        <v>1680.0</v>
      </c>
      <c r="H1329" s="12" t="str">
        <f t="array" ref="H1329">XLOOKUP(C:C,Sheet3!A:A,Sheet3!B:B)</f>
        <v>#N/A</v>
      </c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</row>
    <row r="1330">
      <c r="A1330" s="11" t="s">
        <v>12</v>
      </c>
      <c r="B1330" s="11" t="s">
        <v>13</v>
      </c>
      <c r="C1330" s="9" t="s">
        <v>1063</v>
      </c>
      <c r="D1330" s="9" t="s">
        <v>16</v>
      </c>
      <c r="E1330" s="9" t="s">
        <v>80</v>
      </c>
      <c r="F1330" s="6">
        <v>0.0</v>
      </c>
      <c r="G1330" s="7">
        <v>0.0</v>
      </c>
      <c r="H1330" s="12">
        <v>0.0</v>
      </c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</row>
    <row r="1331">
      <c r="A1331" s="11" t="s">
        <v>12</v>
      </c>
      <c r="B1331" s="11" t="s">
        <v>13</v>
      </c>
      <c r="C1331" s="9" t="s">
        <v>1064</v>
      </c>
      <c r="D1331" s="9" t="s">
        <v>16</v>
      </c>
      <c r="E1331" s="10" t="s">
        <v>14</v>
      </c>
      <c r="F1331" s="6">
        <v>198000.0</v>
      </c>
      <c r="G1331" s="7">
        <v>23858.0</v>
      </c>
      <c r="H1331" s="12" t="str">
        <f t="array" ref="H1331">XLOOKUP(C:C,Sheet3!A:A,Sheet3!B:B)</f>
        <v>#N/A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</row>
    <row r="1332">
      <c r="A1332" s="11" t="s">
        <v>12</v>
      </c>
      <c r="B1332" s="11" t="s">
        <v>13</v>
      </c>
      <c r="C1332" s="9" t="s">
        <v>1065</v>
      </c>
      <c r="D1332" s="9" t="s">
        <v>16</v>
      </c>
      <c r="E1332" s="10" t="s">
        <v>14</v>
      </c>
      <c r="F1332" s="6">
        <v>0.0</v>
      </c>
      <c r="G1332" s="7">
        <v>0.0</v>
      </c>
      <c r="H1332" s="12">
        <v>0.0</v>
      </c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</row>
    <row r="1333">
      <c r="A1333" s="11" t="s">
        <v>7</v>
      </c>
      <c r="B1333" s="11" t="s">
        <v>13</v>
      </c>
      <c r="C1333" s="9" t="s">
        <v>1066</v>
      </c>
      <c r="D1333" s="9" t="s">
        <v>16</v>
      </c>
      <c r="E1333" s="9" t="s">
        <v>23</v>
      </c>
      <c r="F1333" s="6">
        <v>700000.0</v>
      </c>
      <c r="G1333" s="7">
        <v>0.0</v>
      </c>
      <c r="H1333" s="12" t="str">
        <f t="array" ref="H1333">XLOOKUP(C:C,Sheet3!A:A,Sheet3!B:B)</f>
        <v>#N/A</v>
      </c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</row>
    <row r="1334">
      <c r="A1334" s="11" t="s">
        <v>12</v>
      </c>
      <c r="B1334" s="11" t="s">
        <v>13</v>
      </c>
      <c r="C1334" s="9" t="s">
        <v>1066</v>
      </c>
      <c r="D1334" s="9" t="s">
        <v>16</v>
      </c>
      <c r="E1334" s="9" t="s">
        <v>17</v>
      </c>
      <c r="F1334" s="6">
        <v>700000.0</v>
      </c>
      <c r="G1334" s="7">
        <v>86422.0</v>
      </c>
      <c r="H1334" s="12" t="str">
        <f t="array" ref="H1334">XLOOKUP(C:C,Sheet3!A:A,Sheet3!B:B)</f>
        <v>#N/A</v>
      </c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</row>
    <row r="1335">
      <c r="A1335" s="11" t="s">
        <v>12</v>
      </c>
      <c r="B1335" s="11" t="s">
        <v>13</v>
      </c>
      <c r="C1335" s="9" t="s">
        <v>1067</v>
      </c>
      <c r="D1335" s="9" t="s">
        <v>32</v>
      </c>
      <c r="E1335" s="9" t="s">
        <v>33</v>
      </c>
      <c r="F1335" s="6">
        <v>150000.0</v>
      </c>
      <c r="G1335" s="7">
        <v>0.0</v>
      </c>
      <c r="H1335" s="12" t="str">
        <f t="array" ref="H1335">XLOOKUP(C:C,Sheet3!A:A,Sheet3!B:B)</f>
        <v>#N/A</v>
      </c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</row>
    <row r="1336">
      <c r="A1336" s="11" t="s">
        <v>7</v>
      </c>
      <c r="B1336" s="11" t="s">
        <v>13</v>
      </c>
      <c r="C1336" s="9" t="s">
        <v>1068</v>
      </c>
      <c r="D1336" s="9" t="s">
        <v>37</v>
      </c>
      <c r="E1336" s="9" t="s">
        <v>104</v>
      </c>
      <c r="F1336" s="6">
        <v>1.0E7</v>
      </c>
      <c r="G1336" s="7">
        <v>0.0</v>
      </c>
      <c r="H1336" s="12" t="str">
        <f t="array" ref="H1336">XLOOKUP(C:C,Sheet3!A:A,Sheet3!B:B)</f>
        <v>#N/A</v>
      </c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</row>
    <row r="1337">
      <c r="A1337" s="11" t="s">
        <v>12</v>
      </c>
      <c r="B1337" s="11" t="s">
        <v>13</v>
      </c>
      <c r="C1337" s="9" t="s">
        <v>1068</v>
      </c>
      <c r="D1337" s="9" t="s">
        <v>37</v>
      </c>
      <c r="E1337" s="9" t="s">
        <v>84</v>
      </c>
      <c r="F1337" s="6">
        <v>1.0E7</v>
      </c>
      <c r="G1337" s="7">
        <v>8761942.0</v>
      </c>
      <c r="H1337" s="12" t="str">
        <f t="array" ref="H1337">XLOOKUP(C:C,Sheet3!A:A,Sheet3!B:B)</f>
        <v>#N/A</v>
      </c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</row>
    <row r="1338">
      <c r="A1338" s="11" t="s">
        <v>12</v>
      </c>
      <c r="B1338" s="11" t="s">
        <v>13</v>
      </c>
      <c r="C1338" s="9" t="s">
        <v>1069</v>
      </c>
      <c r="D1338" s="9" t="s">
        <v>16</v>
      </c>
      <c r="E1338" s="10" t="s">
        <v>14</v>
      </c>
      <c r="F1338" s="6">
        <v>0.0</v>
      </c>
      <c r="G1338" s="7">
        <v>0.0</v>
      </c>
      <c r="H1338" s="12">
        <v>0.0</v>
      </c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</row>
    <row r="1339">
      <c r="A1339" s="11" t="s">
        <v>12</v>
      </c>
      <c r="B1339" s="11" t="s">
        <v>13</v>
      </c>
      <c r="C1339" s="9" t="s">
        <v>1070</v>
      </c>
      <c r="D1339" s="9" t="s">
        <v>16</v>
      </c>
      <c r="E1339" s="10" t="s">
        <v>14</v>
      </c>
      <c r="F1339" s="6">
        <v>0.0</v>
      </c>
      <c r="G1339" s="7">
        <v>0.0</v>
      </c>
      <c r="H1339" s="12">
        <v>0.0</v>
      </c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</row>
    <row r="1340">
      <c r="A1340" s="11" t="s">
        <v>7</v>
      </c>
      <c r="B1340" s="11" t="s">
        <v>8</v>
      </c>
      <c r="C1340" s="9" t="s">
        <v>1071</v>
      </c>
      <c r="D1340" s="9" t="s">
        <v>48</v>
      </c>
      <c r="E1340" s="9" t="s">
        <v>11</v>
      </c>
      <c r="F1340" s="6">
        <v>300000.0</v>
      </c>
      <c r="G1340" s="7">
        <v>0.0</v>
      </c>
      <c r="H1340" s="12" t="str">
        <f t="array" ref="H1340">XLOOKUP(C:C,Sheet3!A:A,Sheet3!B:B)</f>
        <v>#N/A</v>
      </c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</row>
    <row r="1341">
      <c r="A1341" s="11" t="s">
        <v>12</v>
      </c>
      <c r="B1341" s="11" t="s">
        <v>13</v>
      </c>
      <c r="C1341" s="9" t="s">
        <v>1071</v>
      </c>
      <c r="D1341" s="9" t="s">
        <v>48</v>
      </c>
      <c r="E1341" s="10" t="s">
        <v>14</v>
      </c>
      <c r="F1341" s="6">
        <v>490000.0</v>
      </c>
      <c r="G1341" s="7">
        <v>0.0</v>
      </c>
      <c r="H1341" s="12" t="str">
        <f t="array" ref="H1341">XLOOKUP(C:C,Sheet3!A:A,Sheet3!B:B)</f>
        <v>#N/A</v>
      </c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</row>
    <row r="1342">
      <c r="A1342" s="11" t="s">
        <v>12</v>
      </c>
      <c r="B1342" s="11" t="s">
        <v>8</v>
      </c>
      <c r="C1342" s="9" t="s">
        <v>1071</v>
      </c>
      <c r="D1342" s="9" t="s">
        <v>48</v>
      </c>
      <c r="E1342" s="9" t="s">
        <v>11</v>
      </c>
      <c r="F1342" s="6">
        <v>1692855.0</v>
      </c>
      <c r="G1342" s="7">
        <v>331285.0</v>
      </c>
      <c r="H1342" s="12" t="str">
        <f t="array" ref="H1342">XLOOKUP(C:C,Sheet3!A:A,Sheet3!B:B)</f>
        <v>#N/A</v>
      </c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</row>
    <row r="1343">
      <c r="A1343" s="11" t="s">
        <v>12</v>
      </c>
      <c r="B1343" s="11" t="s">
        <v>13</v>
      </c>
      <c r="C1343" s="9" t="s">
        <v>1072</v>
      </c>
      <c r="D1343" s="9" t="s">
        <v>48</v>
      </c>
      <c r="E1343" s="10" t="s">
        <v>14</v>
      </c>
      <c r="F1343" s="6">
        <v>0.0</v>
      </c>
      <c r="G1343" s="7">
        <v>-500000.0</v>
      </c>
      <c r="H1343" s="12" t="str">
        <f t="array" ref="H1343">XLOOKUP(C:C,Sheet3!A:A,Sheet3!B:B)</f>
        <v>#N/A</v>
      </c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</row>
    <row r="1344">
      <c r="A1344" s="11" t="s">
        <v>7</v>
      </c>
      <c r="B1344" s="11" t="s">
        <v>13</v>
      </c>
      <c r="C1344" s="9" t="s">
        <v>1073</v>
      </c>
      <c r="D1344" s="9" t="s">
        <v>32</v>
      </c>
      <c r="E1344" s="9" t="s">
        <v>144</v>
      </c>
      <c r="F1344" s="6">
        <v>1350000.0</v>
      </c>
      <c r="G1344" s="7">
        <v>0.0</v>
      </c>
      <c r="H1344" s="12" t="str">
        <f t="array" ref="H1344">XLOOKUP(C:C,Sheet3!A:A,Sheet3!B:B)</f>
        <v>#N/A</v>
      </c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</row>
    <row r="1345">
      <c r="A1345" s="11" t="s">
        <v>12</v>
      </c>
      <c r="B1345" s="11" t="s">
        <v>13</v>
      </c>
      <c r="C1345" s="9" t="s">
        <v>1073</v>
      </c>
      <c r="D1345" s="9" t="s">
        <v>32</v>
      </c>
      <c r="E1345" s="9" t="s">
        <v>49</v>
      </c>
      <c r="F1345" s="6">
        <v>1750000.0</v>
      </c>
      <c r="G1345" s="7">
        <v>18.0</v>
      </c>
      <c r="H1345" s="12" t="str">
        <f t="array" ref="H1345">XLOOKUP(C:C,Sheet3!A:A,Sheet3!B:B)</f>
        <v>#N/A</v>
      </c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</row>
    <row r="1346">
      <c r="A1346" s="11" t="s">
        <v>12</v>
      </c>
      <c r="B1346" s="11" t="s">
        <v>13</v>
      </c>
      <c r="C1346" s="9" t="s">
        <v>1074</v>
      </c>
      <c r="D1346" s="9" t="s">
        <v>16</v>
      </c>
      <c r="E1346" s="10" t="s">
        <v>14</v>
      </c>
      <c r="F1346" s="6">
        <v>0.0</v>
      </c>
      <c r="G1346" s="7">
        <v>0.0</v>
      </c>
      <c r="H1346" s="12">
        <v>0.0</v>
      </c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</row>
    <row r="1347">
      <c r="A1347" s="11" t="s">
        <v>7</v>
      </c>
      <c r="B1347" s="11" t="s">
        <v>8</v>
      </c>
      <c r="C1347" s="9" t="s">
        <v>1075</v>
      </c>
      <c r="D1347" s="9" t="s">
        <v>10</v>
      </c>
      <c r="E1347" s="9" t="s">
        <v>49</v>
      </c>
      <c r="F1347" s="6">
        <v>100000.0</v>
      </c>
      <c r="G1347" s="7">
        <v>0.0</v>
      </c>
      <c r="H1347" s="12" t="str">
        <f t="array" ref="H1347">XLOOKUP(C:C,Sheet3!A:A,Sheet3!B:B)</f>
        <v>#N/A</v>
      </c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</row>
    <row r="1348">
      <c r="A1348" s="11" t="s">
        <v>12</v>
      </c>
      <c r="B1348" s="11" t="s">
        <v>13</v>
      </c>
      <c r="C1348" s="9" t="s">
        <v>1075</v>
      </c>
      <c r="D1348" s="9" t="s">
        <v>10</v>
      </c>
      <c r="E1348" s="10" t="s">
        <v>14</v>
      </c>
      <c r="F1348" s="6">
        <v>0.0</v>
      </c>
      <c r="G1348" s="7">
        <v>0.0</v>
      </c>
      <c r="H1348" s="12" t="str">
        <f t="array" ref="H1348">XLOOKUP(C:C,Sheet3!A:A,Sheet3!B:B)</f>
        <v>#N/A</v>
      </c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</row>
    <row r="1349">
      <c r="A1349" s="11" t="s">
        <v>12</v>
      </c>
      <c r="B1349" s="11" t="s">
        <v>8</v>
      </c>
      <c r="C1349" s="9" t="s">
        <v>1075</v>
      </c>
      <c r="D1349" s="9" t="s">
        <v>10</v>
      </c>
      <c r="E1349" s="9" t="s">
        <v>49</v>
      </c>
      <c r="F1349" s="6">
        <v>184050.0</v>
      </c>
      <c r="G1349" s="7">
        <v>64664.0</v>
      </c>
      <c r="H1349" s="12" t="str">
        <f t="array" ref="H1349">XLOOKUP(C:C,Sheet3!A:A,Sheet3!B:B)</f>
        <v>#N/A</v>
      </c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</row>
    <row r="1350">
      <c r="A1350" s="11" t="s">
        <v>7</v>
      </c>
      <c r="B1350" s="11" t="s">
        <v>13</v>
      </c>
      <c r="C1350" s="9" t="s">
        <v>1076</v>
      </c>
      <c r="D1350" s="9" t="s">
        <v>16</v>
      </c>
      <c r="E1350" s="9" t="s">
        <v>763</v>
      </c>
      <c r="F1350" s="6">
        <v>500000.0</v>
      </c>
      <c r="G1350" s="7">
        <v>0.0</v>
      </c>
      <c r="H1350" s="12" t="str">
        <f t="array" ref="H1350">XLOOKUP(C:C,Sheet3!A:A,Sheet3!B:B)</f>
        <v>#N/A</v>
      </c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</row>
    <row r="1351">
      <c r="A1351" s="11" t="s">
        <v>12</v>
      </c>
      <c r="B1351" s="11" t="s">
        <v>13</v>
      </c>
      <c r="C1351" s="9" t="s">
        <v>1076</v>
      </c>
      <c r="D1351" s="9" t="s">
        <v>16</v>
      </c>
      <c r="E1351" s="9" t="s">
        <v>80</v>
      </c>
      <c r="F1351" s="6">
        <v>500000.0</v>
      </c>
      <c r="G1351" s="7">
        <v>49206.0</v>
      </c>
      <c r="H1351" s="12" t="str">
        <f t="array" ref="H1351">XLOOKUP(C:C,Sheet3!A:A,Sheet3!B:B)</f>
        <v>#N/A</v>
      </c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</row>
    <row r="1352">
      <c r="A1352" s="11" t="s">
        <v>12</v>
      </c>
      <c r="B1352" s="11" t="s">
        <v>13</v>
      </c>
      <c r="C1352" s="9" t="s">
        <v>1077</v>
      </c>
      <c r="D1352" s="9" t="s">
        <v>16</v>
      </c>
      <c r="E1352" s="10" t="s">
        <v>14</v>
      </c>
      <c r="F1352" s="6">
        <v>0.0</v>
      </c>
      <c r="G1352" s="7">
        <v>0.0</v>
      </c>
      <c r="H1352" s="12">
        <v>0.0</v>
      </c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</row>
    <row r="1353">
      <c r="A1353" s="11" t="s">
        <v>7</v>
      </c>
      <c r="B1353" s="11" t="s">
        <v>13</v>
      </c>
      <c r="C1353" s="9" t="s">
        <v>1078</v>
      </c>
      <c r="D1353" s="9" t="s">
        <v>16</v>
      </c>
      <c r="E1353" s="9" t="s">
        <v>144</v>
      </c>
      <c r="F1353" s="6">
        <v>1000000.0</v>
      </c>
      <c r="G1353" s="7">
        <v>0.0</v>
      </c>
      <c r="H1353" s="12" t="str">
        <f t="array" ref="H1353">XLOOKUP(C:C,Sheet3!A:A,Sheet3!B:B)</f>
        <v>#N/A</v>
      </c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</row>
    <row r="1354">
      <c r="A1354" s="11" t="s">
        <v>12</v>
      </c>
      <c r="B1354" s="11" t="s">
        <v>13</v>
      </c>
      <c r="C1354" s="9" t="s">
        <v>1078</v>
      </c>
      <c r="D1354" s="9" t="s">
        <v>16</v>
      </c>
      <c r="E1354" s="9" t="s">
        <v>49</v>
      </c>
      <c r="F1354" s="6">
        <v>1000000.0</v>
      </c>
      <c r="G1354" s="7">
        <v>0.0</v>
      </c>
      <c r="H1354" s="12" t="str">
        <f t="array" ref="H1354">XLOOKUP(C:C,Sheet3!A:A,Sheet3!B:B)</f>
        <v>#N/A</v>
      </c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</row>
    <row r="1355">
      <c r="A1355" s="11" t="s">
        <v>12</v>
      </c>
      <c r="B1355" s="11" t="s">
        <v>13</v>
      </c>
      <c r="C1355" s="9" t="s">
        <v>1079</v>
      </c>
      <c r="D1355" s="9" t="s">
        <v>16</v>
      </c>
      <c r="E1355" s="9" t="s">
        <v>49</v>
      </c>
      <c r="F1355" s="6">
        <v>0.0</v>
      </c>
      <c r="G1355" s="7">
        <v>0.0</v>
      </c>
      <c r="H1355" s="12">
        <v>0.0</v>
      </c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</row>
    <row r="1356">
      <c r="A1356" s="11" t="s">
        <v>12</v>
      </c>
      <c r="B1356" s="11" t="s">
        <v>13</v>
      </c>
      <c r="C1356" s="9" t="s">
        <v>1080</v>
      </c>
      <c r="D1356" s="9" t="s">
        <v>16</v>
      </c>
      <c r="E1356" s="10" t="s">
        <v>14</v>
      </c>
      <c r="F1356" s="6">
        <v>0.0</v>
      </c>
      <c r="G1356" s="7">
        <v>0.0</v>
      </c>
      <c r="H1356" s="12">
        <v>0.0</v>
      </c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</row>
    <row r="1357">
      <c r="A1357" s="11" t="s">
        <v>12</v>
      </c>
      <c r="B1357" s="11" t="s">
        <v>13</v>
      </c>
      <c r="C1357" s="9" t="s">
        <v>1081</v>
      </c>
      <c r="D1357" s="9" t="s">
        <v>16</v>
      </c>
      <c r="E1357" s="9" t="s">
        <v>49</v>
      </c>
      <c r="F1357" s="6">
        <v>920000.0</v>
      </c>
      <c r="G1357" s="7">
        <v>0.0</v>
      </c>
      <c r="H1357" s="12">
        <v>0.0</v>
      </c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</row>
    <row r="1358">
      <c r="A1358" s="11" t="s">
        <v>7</v>
      </c>
      <c r="B1358" s="11" t="s">
        <v>13</v>
      </c>
      <c r="C1358" s="9" t="s">
        <v>1082</v>
      </c>
      <c r="D1358" s="9" t="s">
        <v>88</v>
      </c>
      <c r="E1358" s="9" t="s">
        <v>144</v>
      </c>
      <c r="F1358" s="6">
        <v>2000000.0</v>
      </c>
      <c r="G1358" s="7">
        <v>0.0</v>
      </c>
      <c r="H1358" s="12" t="str">
        <f t="array" ref="H1358">XLOOKUP(C:C,Sheet3!A:A,Sheet3!B:B)</f>
        <v>#N/A</v>
      </c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</row>
    <row r="1359">
      <c r="A1359" s="11" t="s">
        <v>12</v>
      </c>
      <c r="B1359" s="11" t="s">
        <v>13</v>
      </c>
      <c r="C1359" s="9" t="s">
        <v>1082</v>
      </c>
      <c r="D1359" s="9" t="s">
        <v>88</v>
      </c>
      <c r="E1359" s="9" t="s">
        <v>49</v>
      </c>
      <c r="F1359" s="6">
        <v>2020000.0</v>
      </c>
      <c r="G1359" s="7">
        <v>7272.0</v>
      </c>
      <c r="H1359" s="12" t="str">
        <f t="array" ref="H1359">XLOOKUP(C:C,Sheet3!A:A,Sheet3!B:B)</f>
        <v>#N/A</v>
      </c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</row>
    <row r="1360">
      <c r="A1360" s="11" t="s">
        <v>12</v>
      </c>
      <c r="B1360" s="11" t="s">
        <v>13</v>
      </c>
      <c r="C1360" s="9" t="s">
        <v>1083</v>
      </c>
      <c r="D1360" s="9" t="s">
        <v>16</v>
      </c>
      <c r="E1360" s="10" t="s">
        <v>14</v>
      </c>
      <c r="F1360" s="6">
        <v>0.0</v>
      </c>
      <c r="G1360" s="7">
        <v>0.0</v>
      </c>
      <c r="H1360" s="12" t="str">
        <f t="array" ref="H1360">XLOOKUP(C:C,Sheet3!A:A,Sheet3!B:B)</f>
        <v>#N/A</v>
      </c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</row>
    <row r="1361">
      <c r="A1361" s="11" t="s">
        <v>12</v>
      </c>
      <c r="B1361" s="11" t="s">
        <v>13</v>
      </c>
      <c r="C1361" s="9" t="s">
        <v>1084</v>
      </c>
      <c r="D1361" s="9" t="s">
        <v>88</v>
      </c>
      <c r="E1361" s="9" t="s">
        <v>49</v>
      </c>
      <c r="F1361" s="6">
        <v>900000.0</v>
      </c>
      <c r="G1361" s="7">
        <v>0.0</v>
      </c>
      <c r="H1361" s="12" t="str">
        <f t="array" ref="H1361">XLOOKUP(C:C,Sheet3!A:A,Sheet3!B:B)</f>
        <v>#N/A</v>
      </c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</row>
    <row r="1362">
      <c r="A1362" s="11" t="s">
        <v>7</v>
      </c>
      <c r="B1362" s="11" t="s">
        <v>13</v>
      </c>
      <c r="C1362" s="9" t="s">
        <v>1085</v>
      </c>
      <c r="D1362" s="9" t="s">
        <v>83</v>
      </c>
      <c r="E1362" s="9" t="s">
        <v>23</v>
      </c>
      <c r="F1362" s="6">
        <v>3400000.0</v>
      </c>
      <c r="G1362" s="7">
        <v>0.0</v>
      </c>
      <c r="H1362" s="12" t="str">
        <f t="array" ref="H1362">XLOOKUP(C:C,Sheet3!A:A,Sheet3!B:B)</f>
        <v>#N/A</v>
      </c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</row>
    <row r="1363">
      <c r="A1363" s="11" t="s">
        <v>12</v>
      </c>
      <c r="B1363" s="11" t="s">
        <v>13</v>
      </c>
      <c r="C1363" s="9" t="s">
        <v>1085</v>
      </c>
      <c r="D1363" s="9" t="s">
        <v>83</v>
      </c>
      <c r="E1363" s="9" t="s">
        <v>17</v>
      </c>
      <c r="F1363" s="6">
        <v>3400000.0</v>
      </c>
      <c r="G1363" s="7">
        <v>0.0</v>
      </c>
      <c r="H1363" s="12" t="str">
        <f t="array" ref="H1363">XLOOKUP(C:C,Sheet3!A:A,Sheet3!B:B)</f>
        <v>#N/A</v>
      </c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</row>
    <row r="1364">
      <c r="A1364" s="11" t="s">
        <v>7</v>
      </c>
      <c r="B1364" s="11" t="s">
        <v>13</v>
      </c>
      <c r="C1364" s="9" t="s">
        <v>1086</v>
      </c>
      <c r="D1364" s="9" t="s">
        <v>16</v>
      </c>
      <c r="E1364" s="10" t="s">
        <v>14</v>
      </c>
      <c r="F1364" s="6">
        <v>0.0</v>
      </c>
      <c r="G1364" s="7">
        <v>0.0</v>
      </c>
      <c r="H1364" s="12" t="str">
        <f t="array" ref="H1364">XLOOKUP(C:C,Sheet3!A:A,Sheet3!B:B)</f>
        <v>#N/A</v>
      </c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</row>
    <row r="1365">
      <c r="A1365" s="11" t="s">
        <v>12</v>
      </c>
      <c r="B1365" s="11" t="s">
        <v>13</v>
      </c>
      <c r="C1365" s="9" t="s">
        <v>1086</v>
      </c>
      <c r="D1365" s="9" t="s">
        <v>16</v>
      </c>
      <c r="E1365" s="9" t="s">
        <v>17</v>
      </c>
      <c r="F1365" s="6">
        <v>1504000.0</v>
      </c>
      <c r="G1365" s="7">
        <v>2263905.0</v>
      </c>
      <c r="H1365" s="12" t="str">
        <f t="array" ref="H1365">XLOOKUP(C:C,Sheet3!A:A,Sheet3!B:B)</f>
        <v>#N/A</v>
      </c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</row>
    <row r="1366">
      <c r="A1366" s="11" t="s">
        <v>12</v>
      </c>
      <c r="B1366" s="11" t="s">
        <v>13</v>
      </c>
      <c r="C1366" s="9" t="s">
        <v>1087</v>
      </c>
      <c r="D1366" s="9" t="s">
        <v>16</v>
      </c>
      <c r="E1366" s="10" t="s">
        <v>14</v>
      </c>
      <c r="F1366" s="6">
        <v>0.0</v>
      </c>
      <c r="G1366" s="7">
        <v>221376.0</v>
      </c>
      <c r="H1366" s="12">
        <v>0.0</v>
      </c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</row>
    <row r="1367">
      <c r="A1367" s="11" t="s">
        <v>12</v>
      </c>
      <c r="B1367" s="11" t="s">
        <v>13</v>
      </c>
      <c r="C1367" s="9" t="s">
        <v>1088</v>
      </c>
      <c r="D1367" s="9" t="s">
        <v>48</v>
      </c>
      <c r="E1367" s="9" t="s">
        <v>33</v>
      </c>
      <c r="F1367" s="6">
        <v>1000000.0</v>
      </c>
      <c r="G1367" s="7">
        <v>1384976.0</v>
      </c>
      <c r="H1367" s="12" t="str">
        <f t="array" ref="H1367">XLOOKUP(C:C,Sheet3!A:A,Sheet3!B:B)</f>
        <v>#N/A</v>
      </c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</row>
    <row r="1368">
      <c r="A1368" s="11" t="s">
        <v>7</v>
      </c>
      <c r="B1368" s="11" t="s">
        <v>8</v>
      </c>
      <c r="C1368" s="9" t="s">
        <v>1089</v>
      </c>
      <c r="D1368" s="9" t="s">
        <v>16</v>
      </c>
      <c r="E1368" s="9" t="s">
        <v>55</v>
      </c>
      <c r="F1368" s="6">
        <v>0.0</v>
      </c>
      <c r="G1368" s="7">
        <v>0.0</v>
      </c>
      <c r="H1368" s="12" t="str">
        <f t="array" ref="H1368">XLOOKUP(C:C,Sheet3!A:A,Sheet3!B:B)</f>
        <v>#N/A</v>
      </c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</row>
    <row r="1369">
      <c r="A1369" s="11" t="s">
        <v>12</v>
      </c>
      <c r="B1369" s="11" t="s">
        <v>8</v>
      </c>
      <c r="C1369" s="9" t="s">
        <v>1089</v>
      </c>
      <c r="D1369" s="9" t="s">
        <v>16</v>
      </c>
      <c r="E1369" s="9" t="s">
        <v>55</v>
      </c>
      <c r="F1369" s="6">
        <v>175000.0</v>
      </c>
      <c r="G1369" s="7">
        <v>0.0</v>
      </c>
      <c r="H1369" s="12" t="str">
        <f t="array" ref="H1369">XLOOKUP(C:C,Sheet3!A:A,Sheet3!B:B)</f>
        <v>#N/A</v>
      </c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</row>
    <row r="1370">
      <c r="A1370" s="11" t="s">
        <v>12</v>
      </c>
      <c r="B1370" s="11" t="s">
        <v>13</v>
      </c>
      <c r="C1370" s="9" t="s">
        <v>1090</v>
      </c>
      <c r="D1370" s="9" t="s">
        <v>16</v>
      </c>
      <c r="E1370" s="10" t="s">
        <v>14</v>
      </c>
      <c r="F1370" s="6">
        <v>0.0</v>
      </c>
      <c r="G1370" s="7">
        <v>0.0</v>
      </c>
      <c r="H1370" s="12">
        <v>0.0</v>
      </c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</row>
    <row r="1371">
      <c r="A1371" s="11" t="s">
        <v>12</v>
      </c>
      <c r="B1371" s="11" t="s">
        <v>13</v>
      </c>
      <c r="C1371" s="9" t="s">
        <v>1091</v>
      </c>
      <c r="D1371" s="9" t="s">
        <v>16</v>
      </c>
      <c r="E1371" s="10" t="s">
        <v>14</v>
      </c>
      <c r="F1371" s="6">
        <v>0.0</v>
      </c>
      <c r="G1371" s="7">
        <v>0.0</v>
      </c>
      <c r="H1371" s="12">
        <v>0.0</v>
      </c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</row>
    <row r="1372">
      <c r="A1372" s="11" t="s">
        <v>7</v>
      </c>
      <c r="B1372" s="11" t="s">
        <v>13</v>
      </c>
      <c r="C1372" s="9" t="s">
        <v>1092</v>
      </c>
      <c r="D1372" s="9" t="s">
        <v>83</v>
      </c>
      <c r="E1372" s="9" t="s">
        <v>23</v>
      </c>
      <c r="F1372" s="6">
        <v>1.35E7</v>
      </c>
      <c r="G1372" s="7">
        <v>0.0</v>
      </c>
      <c r="H1372" s="12" t="str">
        <f t="array" ref="H1372">XLOOKUP(C:C,Sheet3!A:A,Sheet3!B:B)</f>
        <v>#N/A</v>
      </c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</row>
    <row r="1373">
      <c r="A1373" s="11" t="s">
        <v>12</v>
      </c>
      <c r="B1373" s="11" t="s">
        <v>13</v>
      </c>
      <c r="C1373" s="9" t="s">
        <v>1092</v>
      </c>
      <c r="D1373" s="9" t="s">
        <v>83</v>
      </c>
      <c r="E1373" s="9" t="s">
        <v>17</v>
      </c>
      <c r="F1373" s="6">
        <v>1.35E7</v>
      </c>
      <c r="G1373" s="7">
        <v>9445969.0</v>
      </c>
      <c r="H1373" s="12" t="str">
        <f t="array" ref="H1373">XLOOKUP(C:C,Sheet3!A:A,Sheet3!B:B)</f>
        <v>#N/A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</row>
    <row r="1374">
      <c r="A1374" s="11" t="s">
        <v>12</v>
      </c>
      <c r="B1374" s="11" t="s">
        <v>13</v>
      </c>
      <c r="C1374" s="9" t="s">
        <v>1093</v>
      </c>
      <c r="D1374" s="9" t="s">
        <v>83</v>
      </c>
      <c r="E1374" s="10" t="s">
        <v>14</v>
      </c>
      <c r="F1374" s="6">
        <v>0.0</v>
      </c>
      <c r="G1374" s="7">
        <v>1.33724E7</v>
      </c>
      <c r="H1374" s="12" t="str">
        <f t="array" ref="H1374">XLOOKUP(C:C,Sheet3!A:A,Sheet3!B:B)</f>
        <v>#N/A</v>
      </c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</row>
    <row r="1375">
      <c r="A1375" s="11" t="s">
        <v>12</v>
      </c>
      <c r="B1375" s="11" t="s">
        <v>13</v>
      </c>
      <c r="C1375" s="9" t="s">
        <v>1094</v>
      </c>
      <c r="D1375" s="9" t="s">
        <v>83</v>
      </c>
      <c r="E1375" s="10" t="s">
        <v>14</v>
      </c>
      <c r="F1375" s="6">
        <v>0.0</v>
      </c>
      <c r="G1375" s="7">
        <v>1.71165E7</v>
      </c>
      <c r="H1375" s="12" t="str">
        <f t="array" ref="H1375">XLOOKUP(C:C,Sheet3!A:A,Sheet3!B:B)</f>
        <v>#N/A</v>
      </c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</row>
    <row r="1376">
      <c r="A1376" s="11" t="s">
        <v>12</v>
      </c>
      <c r="B1376" s="11" t="s">
        <v>13</v>
      </c>
      <c r="C1376" s="9" t="s">
        <v>1095</v>
      </c>
      <c r="D1376" s="9" t="s">
        <v>16</v>
      </c>
      <c r="E1376" s="10" t="s">
        <v>14</v>
      </c>
      <c r="F1376" s="6">
        <v>0.0</v>
      </c>
      <c r="G1376" s="7">
        <v>0.0</v>
      </c>
      <c r="H1376" s="12">
        <v>0.0</v>
      </c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</row>
    <row r="1377">
      <c r="A1377" s="11" t="s">
        <v>7</v>
      </c>
      <c r="B1377" s="11" t="s">
        <v>13</v>
      </c>
      <c r="C1377" s="9" t="s">
        <v>1096</v>
      </c>
      <c r="D1377" s="9" t="s">
        <v>32</v>
      </c>
      <c r="E1377" s="9" t="s">
        <v>144</v>
      </c>
      <c r="F1377" s="6">
        <v>500000.0</v>
      </c>
      <c r="G1377" s="7">
        <v>0.0</v>
      </c>
      <c r="H1377" s="12" t="str">
        <f t="array" ref="H1377">XLOOKUP(C:C,Sheet3!A:A,Sheet3!B:B)</f>
        <v>#N/A</v>
      </c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</row>
    <row r="1378">
      <c r="A1378" s="11" t="s">
        <v>12</v>
      </c>
      <c r="B1378" s="11" t="s">
        <v>13</v>
      </c>
      <c r="C1378" s="9" t="s">
        <v>1096</v>
      </c>
      <c r="D1378" s="9" t="s">
        <v>32</v>
      </c>
      <c r="E1378" s="9" t="s">
        <v>49</v>
      </c>
      <c r="F1378" s="6">
        <v>500000.0</v>
      </c>
      <c r="G1378" s="7">
        <v>588.0</v>
      </c>
      <c r="H1378" s="12" t="str">
        <f t="array" ref="H1378">XLOOKUP(C:C,Sheet3!A:A,Sheet3!B:B)</f>
        <v>#N/A</v>
      </c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</row>
    <row r="1379">
      <c r="A1379" s="11" t="s">
        <v>12</v>
      </c>
      <c r="B1379" s="11" t="s">
        <v>13</v>
      </c>
      <c r="C1379" s="9" t="s">
        <v>1097</v>
      </c>
      <c r="D1379" s="9" t="s">
        <v>16</v>
      </c>
      <c r="E1379" s="10" t="s">
        <v>14</v>
      </c>
      <c r="F1379" s="6">
        <v>0.0</v>
      </c>
      <c r="G1379" s="7">
        <v>0.0</v>
      </c>
      <c r="H1379" s="12">
        <v>0.0</v>
      </c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</row>
    <row r="1380">
      <c r="A1380" s="11" t="s">
        <v>12</v>
      </c>
      <c r="B1380" s="11" t="s">
        <v>13</v>
      </c>
      <c r="C1380" s="9" t="s">
        <v>1098</v>
      </c>
      <c r="D1380" s="9" t="s">
        <v>32</v>
      </c>
      <c r="E1380" s="9" t="s">
        <v>80</v>
      </c>
      <c r="F1380" s="6">
        <v>160000.0</v>
      </c>
      <c r="G1380" s="7">
        <v>0.0</v>
      </c>
      <c r="H1380" s="12" t="str">
        <f t="array" ref="H1380">XLOOKUP(C:C,Sheet3!A:A,Sheet3!B:B)</f>
        <v>#N/A</v>
      </c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</row>
    <row r="1381">
      <c r="A1381" s="11" t="s">
        <v>12</v>
      </c>
      <c r="B1381" s="11" t="s">
        <v>13</v>
      </c>
      <c r="C1381" s="9" t="s">
        <v>1099</v>
      </c>
      <c r="D1381" s="9" t="s">
        <v>32</v>
      </c>
      <c r="E1381" s="9" t="s">
        <v>1100</v>
      </c>
      <c r="F1381" s="6">
        <v>100000.0</v>
      </c>
      <c r="G1381" s="7">
        <v>0.0</v>
      </c>
      <c r="H1381" s="12" t="str">
        <f t="array" ref="H1381">XLOOKUP(C:C,Sheet3!A:A,Sheet3!B:B)</f>
        <v>#N/A</v>
      </c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</row>
    <row r="1382">
      <c r="A1382" s="11" t="s">
        <v>12</v>
      </c>
      <c r="B1382" s="11" t="s">
        <v>8</v>
      </c>
      <c r="C1382" s="9" t="s">
        <v>1101</v>
      </c>
      <c r="D1382" s="9" t="s">
        <v>48</v>
      </c>
      <c r="E1382" s="9" t="s">
        <v>11</v>
      </c>
      <c r="F1382" s="6">
        <v>2500000.0</v>
      </c>
      <c r="G1382" s="7">
        <v>1108043.0</v>
      </c>
      <c r="H1382" s="12" t="str">
        <f t="array" ref="H1382">XLOOKUP(C:C,Sheet3!A:A,Sheet3!B:B)</f>
        <v>#N/A</v>
      </c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</row>
    <row r="1383">
      <c r="A1383" s="11" t="s">
        <v>12</v>
      </c>
      <c r="B1383" s="11" t="s">
        <v>13</v>
      </c>
      <c r="C1383" s="9" t="s">
        <v>1102</v>
      </c>
      <c r="D1383" s="9" t="s">
        <v>16</v>
      </c>
      <c r="E1383" s="10" t="s">
        <v>14</v>
      </c>
      <c r="F1383" s="6">
        <v>1300000.0</v>
      </c>
      <c r="G1383" s="7">
        <v>0.0</v>
      </c>
      <c r="H1383" s="12">
        <v>0.0</v>
      </c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</row>
    <row r="1384">
      <c r="A1384" s="11" t="s">
        <v>12</v>
      </c>
      <c r="B1384" s="11" t="s">
        <v>8</v>
      </c>
      <c r="C1384" s="9" t="s">
        <v>1103</v>
      </c>
      <c r="D1384" s="9" t="s">
        <v>48</v>
      </c>
      <c r="E1384" s="10" t="s">
        <v>14</v>
      </c>
      <c r="F1384" s="6">
        <v>1850000.0</v>
      </c>
      <c r="G1384" s="7">
        <v>1501167.14</v>
      </c>
      <c r="H1384" s="12" t="str">
        <f t="array" ref="H1384">XLOOKUP(C:C,Sheet3!A:A,Sheet3!B:B)</f>
        <v>#N/A</v>
      </c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</row>
    <row r="1385">
      <c r="A1385" s="11" t="s">
        <v>12</v>
      </c>
      <c r="B1385" s="11" t="s">
        <v>8</v>
      </c>
      <c r="C1385" s="9" t="s">
        <v>1104</v>
      </c>
      <c r="D1385" s="9" t="s">
        <v>16</v>
      </c>
      <c r="E1385" s="10" t="s">
        <v>14</v>
      </c>
      <c r="F1385" s="6">
        <v>0.0</v>
      </c>
      <c r="G1385" s="7">
        <v>0.0</v>
      </c>
      <c r="H1385" s="12">
        <v>0.0</v>
      </c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</row>
    <row r="1386">
      <c r="A1386" s="11" t="s">
        <v>12</v>
      </c>
      <c r="B1386" s="11" t="s">
        <v>13</v>
      </c>
      <c r="C1386" s="9" t="s">
        <v>1105</v>
      </c>
      <c r="D1386" s="9" t="s">
        <v>16</v>
      </c>
      <c r="E1386" s="10" t="s">
        <v>14</v>
      </c>
      <c r="F1386" s="6">
        <v>0.0</v>
      </c>
      <c r="G1386" s="7">
        <v>0.0</v>
      </c>
      <c r="H1386" s="12">
        <v>0.0</v>
      </c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</row>
    <row r="1387">
      <c r="A1387" s="11" t="s">
        <v>12</v>
      </c>
      <c r="B1387" s="11" t="s">
        <v>13</v>
      </c>
      <c r="C1387" s="9" t="s">
        <v>1106</v>
      </c>
      <c r="D1387" s="9" t="s">
        <v>16</v>
      </c>
      <c r="E1387" s="9" t="s">
        <v>11</v>
      </c>
      <c r="F1387" s="6">
        <v>700000.0</v>
      </c>
      <c r="G1387" s="7">
        <v>74601.0</v>
      </c>
      <c r="H1387" s="12" t="str">
        <f t="array" ref="H1387">XLOOKUP(C:C,Sheet3!A:A,Sheet3!B:B)</f>
        <v>#N/A</v>
      </c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</row>
    <row r="1388">
      <c r="A1388" s="11" t="s">
        <v>12</v>
      </c>
      <c r="B1388" s="11" t="s">
        <v>13</v>
      </c>
      <c r="C1388" s="9" t="s">
        <v>1107</v>
      </c>
      <c r="D1388" s="9" t="s">
        <v>16</v>
      </c>
      <c r="E1388" s="10" t="s">
        <v>14</v>
      </c>
      <c r="F1388" s="6">
        <v>0.0</v>
      </c>
      <c r="G1388" s="7">
        <v>0.0</v>
      </c>
      <c r="H1388" s="12">
        <v>0.0</v>
      </c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</row>
    <row r="1389">
      <c r="A1389" s="11" t="s">
        <v>12</v>
      </c>
      <c r="B1389" s="11" t="s">
        <v>13</v>
      </c>
      <c r="C1389" s="9" t="s">
        <v>1108</v>
      </c>
      <c r="D1389" s="9" t="s">
        <v>16</v>
      </c>
      <c r="E1389" s="10" t="s">
        <v>14</v>
      </c>
      <c r="F1389" s="6">
        <v>0.0</v>
      </c>
      <c r="G1389" s="7">
        <v>0.0</v>
      </c>
      <c r="H1389" s="12">
        <v>0.0</v>
      </c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</row>
    <row r="1390">
      <c r="A1390" s="11" t="s">
        <v>12</v>
      </c>
      <c r="B1390" s="11" t="s">
        <v>8</v>
      </c>
      <c r="C1390" s="9" t="s">
        <v>1109</v>
      </c>
      <c r="D1390" s="9" t="s">
        <v>16</v>
      </c>
      <c r="E1390" s="9" t="s">
        <v>49</v>
      </c>
      <c r="F1390" s="6">
        <v>50000.0</v>
      </c>
      <c r="G1390" s="7">
        <v>0.0</v>
      </c>
      <c r="H1390" s="12">
        <v>0.0</v>
      </c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</row>
    <row r="1391">
      <c r="A1391" s="11" t="s">
        <v>12</v>
      </c>
      <c r="B1391" s="11" t="s">
        <v>13</v>
      </c>
      <c r="C1391" s="9" t="s">
        <v>1110</v>
      </c>
      <c r="D1391" s="9" t="s">
        <v>16</v>
      </c>
      <c r="E1391" s="10" t="s">
        <v>14</v>
      </c>
      <c r="F1391" s="6">
        <v>227000.0</v>
      </c>
      <c r="G1391" s="7">
        <v>-100000.0</v>
      </c>
      <c r="H1391" s="12" t="str">
        <f t="array" ref="H1391">XLOOKUP(C:C,Sheet3!A:A,Sheet3!B:B)</f>
        <v>#N/A</v>
      </c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</row>
    <row r="1392">
      <c r="A1392" s="11" t="s">
        <v>12</v>
      </c>
      <c r="B1392" s="11" t="s">
        <v>8</v>
      </c>
      <c r="C1392" s="9" t="s">
        <v>1110</v>
      </c>
      <c r="D1392" s="9" t="s">
        <v>16</v>
      </c>
      <c r="E1392" s="9" t="s">
        <v>49</v>
      </c>
      <c r="F1392" s="6">
        <v>50000.0</v>
      </c>
      <c r="G1392" s="7">
        <v>381330.0</v>
      </c>
      <c r="H1392" s="12" t="str">
        <f t="array" ref="H1392">XLOOKUP(C:C,Sheet3!A:A,Sheet3!B:B)</f>
        <v>#N/A</v>
      </c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</row>
    <row r="1393">
      <c r="A1393" s="11" t="s">
        <v>12</v>
      </c>
      <c r="B1393" s="11" t="s">
        <v>8</v>
      </c>
      <c r="C1393" s="9" t="s">
        <v>1111</v>
      </c>
      <c r="D1393" s="9" t="s">
        <v>48</v>
      </c>
      <c r="E1393" s="9" t="s">
        <v>55</v>
      </c>
      <c r="F1393" s="6">
        <v>1500000.0</v>
      </c>
      <c r="G1393" s="7">
        <v>0.0</v>
      </c>
      <c r="H1393" s="12" t="str">
        <f t="array" ref="H1393">XLOOKUP(C:C,Sheet3!A:A,Sheet3!B:B)</f>
        <v>#N/A</v>
      </c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</row>
    <row r="1394">
      <c r="A1394" s="11" t="s">
        <v>7</v>
      </c>
      <c r="B1394" s="11" t="s">
        <v>8</v>
      </c>
      <c r="C1394" s="9" t="s">
        <v>1112</v>
      </c>
      <c r="D1394" s="9" t="s">
        <v>48</v>
      </c>
      <c r="E1394" s="10" t="s">
        <v>14</v>
      </c>
      <c r="F1394" s="6">
        <v>0.0</v>
      </c>
      <c r="G1394" s="7">
        <v>0.0</v>
      </c>
      <c r="H1394" s="12" t="str">
        <f t="array" ref="H1394">XLOOKUP(C:C,Sheet3!A:A,Sheet3!B:B)</f>
        <v>#N/A</v>
      </c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</row>
    <row r="1395">
      <c r="A1395" s="11" t="s">
        <v>12</v>
      </c>
      <c r="B1395" s="11" t="s">
        <v>13</v>
      </c>
      <c r="C1395" s="9" t="s">
        <v>1113</v>
      </c>
      <c r="D1395" s="9" t="s">
        <v>16</v>
      </c>
      <c r="E1395" s="9" t="s">
        <v>49</v>
      </c>
      <c r="F1395" s="6">
        <v>2148000.0</v>
      </c>
      <c r="G1395" s="7">
        <v>0.0</v>
      </c>
      <c r="H1395" s="12">
        <v>0.0</v>
      </c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</row>
    <row r="1396">
      <c r="A1396" s="11" t="s">
        <v>7</v>
      </c>
      <c r="B1396" s="11" t="s">
        <v>13</v>
      </c>
      <c r="C1396" s="9" t="s">
        <v>1114</v>
      </c>
      <c r="D1396" s="9" t="s">
        <v>88</v>
      </c>
      <c r="E1396" s="9" t="s">
        <v>223</v>
      </c>
      <c r="F1396" s="6">
        <v>6000000.0</v>
      </c>
      <c r="G1396" s="7">
        <v>0.0</v>
      </c>
      <c r="H1396" s="12" t="str">
        <f t="array" ref="H1396">XLOOKUP(C:C,Sheet3!A:A,Sheet3!B:B)</f>
        <v>#N/A</v>
      </c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</row>
    <row r="1397">
      <c r="A1397" s="11" t="s">
        <v>12</v>
      </c>
      <c r="B1397" s="11" t="s">
        <v>13</v>
      </c>
      <c r="C1397" s="9" t="s">
        <v>1114</v>
      </c>
      <c r="D1397" s="9" t="s">
        <v>88</v>
      </c>
      <c r="E1397" s="9" t="s">
        <v>96</v>
      </c>
      <c r="F1397" s="6">
        <v>6000000.0</v>
      </c>
      <c r="G1397" s="7">
        <v>5488351.0</v>
      </c>
      <c r="H1397" s="12" t="str">
        <f t="array" ref="H1397">XLOOKUP(C:C,Sheet3!A:A,Sheet3!B:B)</f>
        <v>#N/A</v>
      </c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</row>
    <row r="1398">
      <c r="A1398" s="11" t="s">
        <v>12</v>
      </c>
      <c r="B1398" s="11" t="s">
        <v>13</v>
      </c>
      <c r="C1398" s="9" t="s">
        <v>1115</v>
      </c>
      <c r="D1398" s="9" t="s">
        <v>16</v>
      </c>
      <c r="E1398" s="10" t="s">
        <v>14</v>
      </c>
      <c r="F1398" s="6">
        <v>0.0</v>
      </c>
      <c r="G1398" s="7">
        <v>0.0</v>
      </c>
      <c r="H1398" s="12">
        <v>0.0</v>
      </c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</row>
    <row r="1399">
      <c r="A1399" s="11" t="s">
        <v>12</v>
      </c>
      <c r="B1399" s="11" t="s">
        <v>13</v>
      </c>
      <c r="C1399" s="9" t="s">
        <v>1116</v>
      </c>
      <c r="D1399" s="9" t="s">
        <v>88</v>
      </c>
      <c r="E1399" s="10" t="s">
        <v>14</v>
      </c>
      <c r="F1399" s="6">
        <v>0.0</v>
      </c>
      <c r="G1399" s="7">
        <v>0.0</v>
      </c>
      <c r="H1399" s="12" t="str">
        <f t="array" ref="H1399">XLOOKUP(C:C,Sheet3!A:A,Sheet3!B:B)</f>
        <v>#N/A</v>
      </c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</row>
    <row r="1400">
      <c r="A1400" s="11" t="s">
        <v>12</v>
      </c>
      <c r="B1400" s="11" t="s">
        <v>13</v>
      </c>
      <c r="C1400" s="9" t="s">
        <v>1117</v>
      </c>
      <c r="D1400" s="9" t="s">
        <v>16</v>
      </c>
      <c r="E1400" s="10" t="s">
        <v>14</v>
      </c>
      <c r="F1400" s="6">
        <v>0.0</v>
      </c>
      <c r="G1400" s="7">
        <v>0.0</v>
      </c>
      <c r="H1400" s="12">
        <v>0.0</v>
      </c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</row>
    <row r="1401">
      <c r="A1401" s="11" t="s">
        <v>12</v>
      </c>
      <c r="B1401" s="11" t="s">
        <v>8</v>
      </c>
      <c r="C1401" s="9" t="s">
        <v>1117</v>
      </c>
      <c r="D1401" s="9" t="s">
        <v>16</v>
      </c>
      <c r="E1401" s="9" t="s">
        <v>74</v>
      </c>
      <c r="F1401" s="6">
        <v>0.0</v>
      </c>
      <c r="G1401" s="7">
        <v>0.0</v>
      </c>
      <c r="H1401" s="12">
        <v>0.0</v>
      </c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</row>
    <row r="1402">
      <c r="A1402" s="11" t="s">
        <v>12</v>
      </c>
      <c r="B1402" s="11" t="s">
        <v>13</v>
      </c>
      <c r="C1402" s="9" t="s">
        <v>1118</v>
      </c>
      <c r="D1402" s="9" t="s">
        <v>37</v>
      </c>
      <c r="E1402" s="9" t="s">
        <v>33</v>
      </c>
      <c r="F1402" s="6">
        <v>1000000.0</v>
      </c>
      <c r="G1402" s="7">
        <v>2704474.0</v>
      </c>
      <c r="H1402" s="12" t="str">
        <f t="array" ref="H1402">XLOOKUP(C:C,Sheet3!A:A,Sheet3!B:B)</f>
        <v>#N/A</v>
      </c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</row>
    <row r="1403">
      <c r="A1403" s="11" t="s">
        <v>12</v>
      </c>
      <c r="B1403" s="11" t="s">
        <v>13</v>
      </c>
      <c r="C1403" s="9" t="s">
        <v>1119</v>
      </c>
      <c r="D1403" s="9" t="s">
        <v>37</v>
      </c>
      <c r="E1403" s="10" t="s">
        <v>14</v>
      </c>
      <c r="F1403" s="6">
        <v>0.0</v>
      </c>
      <c r="G1403" s="7">
        <v>672500.0</v>
      </c>
      <c r="H1403" s="12" t="str">
        <f t="array" ref="H1403">XLOOKUP(C:C,Sheet3!A:A,Sheet3!B:B)</f>
        <v>#N/A</v>
      </c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</row>
    <row r="1404">
      <c r="A1404" s="11" t="s">
        <v>12</v>
      </c>
      <c r="B1404" s="11" t="s">
        <v>13</v>
      </c>
      <c r="C1404" s="9" t="s">
        <v>1120</v>
      </c>
      <c r="D1404" s="9" t="s">
        <v>16</v>
      </c>
      <c r="E1404" s="10" t="s">
        <v>14</v>
      </c>
      <c r="F1404" s="6">
        <v>0.0</v>
      </c>
      <c r="G1404" s="7">
        <v>0.0</v>
      </c>
      <c r="H1404" s="12">
        <v>0.0</v>
      </c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</row>
    <row r="1405">
      <c r="A1405" s="11" t="s">
        <v>7</v>
      </c>
      <c r="B1405" s="11" t="s">
        <v>13</v>
      </c>
      <c r="C1405" s="9" t="s">
        <v>1121</v>
      </c>
      <c r="D1405" s="9" t="s">
        <v>83</v>
      </c>
      <c r="E1405" s="10" t="s">
        <v>14</v>
      </c>
      <c r="F1405" s="6">
        <v>0.0</v>
      </c>
      <c r="G1405" s="7">
        <v>0.0</v>
      </c>
      <c r="H1405" s="12" t="str">
        <f t="array" ref="H1405">XLOOKUP(C:C,Sheet3!A:A,Sheet3!B:B)</f>
        <v>#N/A</v>
      </c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</row>
    <row r="1406">
      <c r="A1406" s="11" t="s">
        <v>12</v>
      </c>
      <c r="B1406" s="11" t="s">
        <v>13</v>
      </c>
      <c r="C1406" s="9" t="s">
        <v>1121</v>
      </c>
      <c r="D1406" s="9" t="s">
        <v>83</v>
      </c>
      <c r="E1406" s="9" t="s">
        <v>17</v>
      </c>
      <c r="F1406" s="6">
        <v>3500000.0</v>
      </c>
      <c r="G1406" s="7">
        <v>1323764.4</v>
      </c>
      <c r="H1406" s="12" t="str">
        <f t="array" ref="H1406">XLOOKUP(C:C,Sheet3!A:A,Sheet3!B:B)</f>
        <v>#N/A</v>
      </c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</row>
    <row r="1407">
      <c r="A1407" s="11" t="s">
        <v>12</v>
      </c>
      <c r="B1407" s="11" t="s">
        <v>13</v>
      </c>
      <c r="C1407" s="9" t="s">
        <v>1122</v>
      </c>
      <c r="D1407" s="9" t="s">
        <v>16</v>
      </c>
      <c r="E1407" s="10" t="s">
        <v>14</v>
      </c>
      <c r="F1407" s="6">
        <v>0.0</v>
      </c>
      <c r="G1407" s="7">
        <v>0.0</v>
      </c>
      <c r="H1407" s="12">
        <v>0.0</v>
      </c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</row>
    <row r="1408">
      <c r="A1408" s="11" t="s">
        <v>12</v>
      </c>
      <c r="B1408" s="11" t="s">
        <v>13</v>
      </c>
      <c r="C1408" s="9" t="s">
        <v>1123</v>
      </c>
      <c r="D1408" s="9" t="s">
        <v>16</v>
      </c>
      <c r="E1408" s="10" t="s">
        <v>14</v>
      </c>
      <c r="F1408" s="6">
        <v>0.0</v>
      </c>
      <c r="G1408" s="7">
        <v>0.0</v>
      </c>
      <c r="H1408" s="12">
        <v>0.0</v>
      </c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</row>
    <row r="1409">
      <c r="A1409" s="11" t="s">
        <v>7</v>
      </c>
      <c r="B1409" s="11" t="s">
        <v>13</v>
      </c>
      <c r="C1409" s="9" t="s">
        <v>1124</v>
      </c>
      <c r="D1409" s="9" t="s">
        <v>48</v>
      </c>
      <c r="E1409" s="10" t="s">
        <v>14</v>
      </c>
      <c r="F1409" s="6">
        <v>0.0</v>
      </c>
      <c r="G1409" s="7">
        <v>0.0</v>
      </c>
      <c r="H1409" s="12" t="str">
        <f t="array" ref="H1409">XLOOKUP(C:C,Sheet3!A:A,Sheet3!B:B)</f>
        <v>#N/A</v>
      </c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</row>
    <row r="1410">
      <c r="A1410" s="11" t="s">
        <v>12</v>
      </c>
      <c r="B1410" s="11" t="s">
        <v>13</v>
      </c>
      <c r="C1410" s="9" t="s">
        <v>1124</v>
      </c>
      <c r="D1410" s="9" t="s">
        <v>48</v>
      </c>
      <c r="E1410" s="10" t="s">
        <v>14</v>
      </c>
      <c r="F1410" s="6">
        <v>0.0</v>
      </c>
      <c r="G1410" s="7">
        <v>0.0</v>
      </c>
      <c r="H1410" s="12" t="str">
        <f t="array" ref="H1410">XLOOKUP(C:C,Sheet3!A:A,Sheet3!B:B)</f>
        <v>#N/A</v>
      </c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</row>
    <row r="1411">
      <c r="A1411" s="11" t="s">
        <v>12</v>
      </c>
      <c r="B1411" s="11" t="s">
        <v>13</v>
      </c>
      <c r="C1411" s="9" t="s">
        <v>1125</v>
      </c>
      <c r="D1411" s="9" t="s">
        <v>48</v>
      </c>
      <c r="E1411" s="10" t="s">
        <v>14</v>
      </c>
      <c r="F1411" s="6">
        <v>225000.0</v>
      </c>
      <c r="G1411" s="7">
        <v>0.0</v>
      </c>
      <c r="H1411" s="12" t="str">
        <f t="array" ref="H1411">XLOOKUP(C:C,Sheet3!A:A,Sheet3!B:B)</f>
        <v>#N/A</v>
      </c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</row>
    <row r="1412">
      <c r="A1412" s="11" t="s">
        <v>12</v>
      </c>
      <c r="B1412" s="11" t="s">
        <v>13</v>
      </c>
      <c r="C1412" s="9" t="s">
        <v>1126</v>
      </c>
      <c r="D1412" s="9" t="s">
        <v>16</v>
      </c>
      <c r="E1412" s="10" t="s">
        <v>14</v>
      </c>
      <c r="F1412" s="6">
        <v>0.0</v>
      </c>
      <c r="G1412" s="7">
        <v>0.0</v>
      </c>
      <c r="H1412" s="12">
        <v>0.0</v>
      </c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</row>
    <row r="1413">
      <c r="A1413" s="11" t="s">
        <v>12</v>
      </c>
      <c r="B1413" s="11" t="s">
        <v>13</v>
      </c>
      <c r="C1413" s="9" t="s">
        <v>1127</v>
      </c>
      <c r="D1413" s="9" t="s">
        <v>16</v>
      </c>
      <c r="E1413" s="9" t="s">
        <v>49</v>
      </c>
      <c r="F1413" s="6">
        <v>0.0</v>
      </c>
      <c r="G1413" s="7">
        <v>0.0</v>
      </c>
      <c r="H1413" s="12">
        <v>0.0</v>
      </c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</row>
    <row r="1414">
      <c r="A1414" s="11" t="s">
        <v>12</v>
      </c>
      <c r="B1414" s="11" t="s">
        <v>13</v>
      </c>
      <c r="C1414" s="9" t="s">
        <v>1128</v>
      </c>
      <c r="D1414" s="9" t="s">
        <v>48</v>
      </c>
      <c r="E1414" s="10" t="s">
        <v>14</v>
      </c>
      <c r="F1414" s="6">
        <v>951000.0</v>
      </c>
      <c r="G1414" s="7">
        <v>0.0</v>
      </c>
      <c r="H1414" s="12" t="str">
        <f t="array" ref="H1414">XLOOKUP(C:C,Sheet3!A:A,Sheet3!B:B)</f>
        <v>#N/A</v>
      </c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</row>
    <row r="1415">
      <c r="A1415" s="11" t="s">
        <v>12</v>
      </c>
      <c r="B1415" s="11" t="s">
        <v>8</v>
      </c>
      <c r="C1415" s="9" t="s">
        <v>1128</v>
      </c>
      <c r="D1415" s="9" t="s">
        <v>48</v>
      </c>
      <c r="E1415" s="10" t="s">
        <v>14</v>
      </c>
      <c r="F1415" s="6">
        <v>900000.0</v>
      </c>
      <c r="G1415" s="7">
        <v>-4260.0</v>
      </c>
      <c r="H1415" s="12" t="str">
        <f t="array" ref="H1415">XLOOKUP(C:C,Sheet3!A:A,Sheet3!B:B)</f>
        <v>#N/A</v>
      </c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</row>
    <row r="1416">
      <c r="A1416" s="11" t="s">
        <v>12</v>
      </c>
      <c r="B1416" s="11" t="s">
        <v>13</v>
      </c>
      <c r="C1416" s="9" t="s">
        <v>1129</v>
      </c>
      <c r="D1416" s="9" t="s">
        <v>16</v>
      </c>
      <c r="E1416" s="10" t="s">
        <v>14</v>
      </c>
      <c r="F1416" s="6">
        <v>286000.0</v>
      </c>
      <c r="G1416" s="7">
        <v>-6973.0</v>
      </c>
      <c r="H1416" s="12">
        <v>0.0</v>
      </c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</row>
    <row r="1417">
      <c r="A1417" s="11" t="s">
        <v>12</v>
      </c>
      <c r="B1417" s="11" t="s">
        <v>13</v>
      </c>
      <c r="C1417" s="9" t="s">
        <v>1130</v>
      </c>
      <c r="D1417" s="9" t="s">
        <v>16</v>
      </c>
      <c r="E1417" s="10" t="s">
        <v>14</v>
      </c>
      <c r="F1417" s="6">
        <v>300000.0</v>
      </c>
      <c r="G1417" s="7">
        <v>0.0</v>
      </c>
      <c r="H1417" s="12">
        <v>0.0</v>
      </c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</row>
    <row r="1418">
      <c r="A1418" s="11" t="s">
        <v>7</v>
      </c>
      <c r="B1418" s="11" t="s">
        <v>13</v>
      </c>
      <c r="C1418" s="9" t="s">
        <v>1131</v>
      </c>
      <c r="D1418" s="9" t="s">
        <v>32</v>
      </c>
      <c r="E1418" s="9" t="s">
        <v>144</v>
      </c>
      <c r="F1418" s="6">
        <v>1000000.0</v>
      </c>
      <c r="G1418" s="7">
        <v>0.0</v>
      </c>
      <c r="H1418" s="12" t="str">
        <f t="array" ref="H1418">XLOOKUP(C:C,Sheet3!A:A,Sheet3!B:B)</f>
        <v>#N/A</v>
      </c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</row>
    <row r="1419">
      <c r="A1419" s="11" t="s">
        <v>12</v>
      </c>
      <c r="B1419" s="11" t="s">
        <v>13</v>
      </c>
      <c r="C1419" s="9" t="s">
        <v>1131</v>
      </c>
      <c r="D1419" s="9" t="s">
        <v>32</v>
      </c>
      <c r="E1419" s="9" t="s">
        <v>49</v>
      </c>
      <c r="F1419" s="6">
        <v>1000000.0</v>
      </c>
      <c r="G1419" s="7">
        <v>215220.0</v>
      </c>
      <c r="H1419" s="12" t="str">
        <f t="array" ref="H1419">XLOOKUP(C:C,Sheet3!A:A,Sheet3!B:B)</f>
        <v>#N/A</v>
      </c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</row>
    <row r="1420">
      <c r="A1420" s="11" t="s">
        <v>12</v>
      </c>
      <c r="B1420" s="11" t="s">
        <v>13</v>
      </c>
      <c r="C1420" s="9" t="s">
        <v>115</v>
      </c>
      <c r="D1420" s="9" t="s">
        <v>16</v>
      </c>
      <c r="E1420" s="10" t="s">
        <v>14</v>
      </c>
      <c r="F1420" s="6">
        <v>0.0</v>
      </c>
      <c r="G1420" s="7">
        <v>0.0</v>
      </c>
      <c r="H1420" s="12">
        <v>0.0</v>
      </c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</row>
    <row r="1421">
      <c r="A1421" s="11" t="s">
        <v>12</v>
      </c>
      <c r="B1421" s="11" t="s">
        <v>13</v>
      </c>
      <c r="C1421" s="9" t="s">
        <v>1132</v>
      </c>
      <c r="D1421" s="9" t="s">
        <v>16</v>
      </c>
      <c r="E1421" s="10" t="s">
        <v>14</v>
      </c>
      <c r="F1421" s="6">
        <v>0.0</v>
      </c>
      <c r="G1421" s="7">
        <v>0.0</v>
      </c>
      <c r="H1421" s="12">
        <v>0.0</v>
      </c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</row>
    <row r="1422">
      <c r="A1422" s="11" t="s">
        <v>12</v>
      </c>
      <c r="B1422" s="11" t="s">
        <v>13</v>
      </c>
      <c r="C1422" s="9" t="s">
        <v>1133</v>
      </c>
      <c r="D1422" s="9" t="s">
        <v>16</v>
      </c>
      <c r="E1422" s="10" t="s">
        <v>14</v>
      </c>
      <c r="F1422" s="6">
        <v>0.0</v>
      </c>
      <c r="G1422" s="7">
        <v>0.0</v>
      </c>
      <c r="H1422" s="12">
        <v>0.0</v>
      </c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</row>
    <row r="1423">
      <c r="A1423" s="11" t="s">
        <v>12</v>
      </c>
      <c r="B1423" s="11" t="s">
        <v>13</v>
      </c>
      <c r="C1423" s="9" t="s">
        <v>1134</v>
      </c>
      <c r="D1423" s="9" t="s">
        <v>16</v>
      </c>
      <c r="E1423" s="9" t="s">
        <v>49</v>
      </c>
      <c r="F1423" s="6">
        <v>0.0</v>
      </c>
      <c r="G1423" s="7">
        <v>0.0</v>
      </c>
      <c r="H1423" s="12">
        <v>0.0</v>
      </c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</row>
    <row r="1424">
      <c r="A1424" s="11" t="s">
        <v>7</v>
      </c>
      <c r="B1424" s="11" t="s">
        <v>13</v>
      </c>
      <c r="C1424" s="9" t="s">
        <v>1135</v>
      </c>
      <c r="D1424" s="9" t="s">
        <v>32</v>
      </c>
      <c r="E1424" s="9" t="s">
        <v>17</v>
      </c>
      <c r="F1424" s="6">
        <v>2000000.0</v>
      </c>
      <c r="G1424" s="7">
        <v>0.0</v>
      </c>
      <c r="H1424" s="12" t="str">
        <f t="array" ref="H1424">XLOOKUP(C:C,Sheet3!A:A,Sheet3!B:B)</f>
        <v>#N/A</v>
      </c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</row>
    <row r="1425">
      <c r="A1425" s="11" t="s">
        <v>12</v>
      </c>
      <c r="B1425" s="11" t="s">
        <v>13</v>
      </c>
      <c r="C1425" s="9" t="s">
        <v>1135</v>
      </c>
      <c r="D1425" s="9" t="s">
        <v>32</v>
      </c>
      <c r="E1425" s="9" t="s">
        <v>17</v>
      </c>
      <c r="F1425" s="6">
        <v>2000000.0</v>
      </c>
      <c r="G1425" s="7">
        <v>0.0</v>
      </c>
      <c r="H1425" s="12" t="str">
        <f t="array" ref="H1425">XLOOKUP(C:C,Sheet3!A:A,Sheet3!B:B)</f>
        <v>#N/A</v>
      </c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</row>
    <row r="1426">
      <c r="A1426" s="11" t="s">
        <v>12</v>
      </c>
      <c r="B1426" s="11" t="s">
        <v>13</v>
      </c>
      <c r="C1426" s="9" t="s">
        <v>1136</v>
      </c>
      <c r="D1426" s="9" t="s">
        <v>16</v>
      </c>
      <c r="E1426" s="10" t="s">
        <v>14</v>
      </c>
      <c r="F1426" s="6">
        <v>0.0</v>
      </c>
      <c r="G1426" s="7">
        <v>0.0</v>
      </c>
      <c r="H1426" s="12">
        <v>0.0</v>
      </c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</row>
    <row r="1427">
      <c r="A1427" s="11" t="s">
        <v>12</v>
      </c>
      <c r="B1427" s="11" t="s">
        <v>13</v>
      </c>
      <c r="C1427" s="9" t="s">
        <v>1137</v>
      </c>
      <c r="D1427" s="9" t="s">
        <v>16</v>
      </c>
      <c r="E1427" s="10" t="s">
        <v>14</v>
      </c>
      <c r="F1427" s="6">
        <v>0.0</v>
      </c>
      <c r="G1427" s="7">
        <v>0.0</v>
      </c>
      <c r="H1427" s="12">
        <v>0.0</v>
      </c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</row>
    <row r="1428">
      <c r="A1428" s="11" t="s">
        <v>12</v>
      </c>
      <c r="B1428" s="11" t="s">
        <v>13</v>
      </c>
      <c r="C1428" s="9" t="s">
        <v>1138</v>
      </c>
      <c r="D1428" s="9" t="s">
        <v>16</v>
      </c>
      <c r="E1428" s="10" t="s">
        <v>14</v>
      </c>
      <c r="F1428" s="6">
        <v>0.0</v>
      </c>
      <c r="G1428" s="7">
        <v>0.0</v>
      </c>
      <c r="H1428" s="12">
        <v>0.0</v>
      </c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</row>
    <row r="1429">
      <c r="A1429" s="11" t="s">
        <v>7</v>
      </c>
      <c r="B1429" s="11" t="s">
        <v>13</v>
      </c>
      <c r="C1429" s="9" t="s">
        <v>1139</v>
      </c>
      <c r="D1429" s="9" t="s">
        <v>37</v>
      </c>
      <c r="E1429" s="9" t="s">
        <v>23</v>
      </c>
      <c r="F1429" s="6">
        <v>2500000.0</v>
      </c>
      <c r="G1429" s="7">
        <v>0.0</v>
      </c>
      <c r="H1429" s="12" t="str">
        <f t="array" ref="H1429">XLOOKUP(C:C,Sheet3!A:A,Sheet3!B:B)</f>
        <v>#N/A</v>
      </c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</row>
    <row r="1430">
      <c r="A1430" s="11" t="s">
        <v>12</v>
      </c>
      <c r="B1430" s="11" t="s">
        <v>13</v>
      </c>
      <c r="C1430" s="9" t="s">
        <v>1139</v>
      </c>
      <c r="D1430" s="9" t="s">
        <v>37</v>
      </c>
      <c r="E1430" s="9" t="s">
        <v>17</v>
      </c>
      <c r="F1430" s="6">
        <v>2500000.0</v>
      </c>
      <c r="G1430" s="7">
        <v>1352910.0</v>
      </c>
      <c r="H1430" s="12" t="str">
        <f t="array" ref="H1430">XLOOKUP(C:C,Sheet3!A:A,Sheet3!B:B)</f>
        <v>#N/A</v>
      </c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</row>
    <row r="1431">
      <c r="A1431" s="11" t="s">
        <v>12</v>
      </c>
      <c r="B1431" s="11" t="s">
        <v>13</v>
      </c>
      <c r="C1431" s="9" t="s">
        <v>1140</v>
      </c>
      <c r="D1431" s="9" t="s">
        <v>37</v>
      </c>
      <c r="E1431" s="10" t="s">
        <v>14</v>
      </c>
      <c r="F1431" s="6">
        <v>0.0</v>
      </c>
      <c r="G1431" s="7">
        <v>4248000.0</v>
      </c>
      <c r="H1431" s="12" t="str">
        <f t="array" ref="H1431">XLOOKUP(C:C,Sheet3!A:A,Sheet3!B:B)</f>
        <v>#N/A</v>
      </c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</row>
    <row r="1432">
      <c r="A1432" s="11" t="s">
        <v>12</v>
      </c>
      <c r="B1432" s="11" t="s">
        <v>13</v>
      </c>
      <c r="C1432" s="9" t="s">
        <v>1141</v>
      </c>
      <c r="D1432" s="9" t="s">
        <v>16</v>
      </c>
      <c r="E1432" s="9" t="s">
        <v>49</v>
      </c>
      <c r="F1432" s="6">
        <v>0.0</v>
      </c>
      <c r="G1432" s="7">
        <v>0.0</v>
      </c>
      <c r="H1432" s="12">
        <v>0.0</v>
      </c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</row>
    <row r="1433">
      <c r="A1433" s="11" t="s">
        <v>12</v>
      </c>
      <c r="B1433" s="11" t="s">
        <v>13</v>
      </c>
      <c r="C1433" s="9" t="s">
        <v>1142</v>
      </c>
      <c r="D1433" s="9" t="s">
        <v>16</v>
      </c>
      <c r="E1433" s="10" t="s">
        <v>14</v>
      </c>
      <c r="F1433" s="6">
        <v>0.0</v>
      </c>
      <c r="G1433" s="7">
        <v>0.0</v>
      </c>
      <c r="H1433" s="12">
        <v>0.0</v>
      </c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</row>
    <row r="1434">
      <c r="A1434" s="11" t="s">
        <v>12</v>
      </c>
      <c r="B1434" s="11" t="s">
        <v>13</v>
      </c>
      <c r="C1434" s="9" t="s">
        <v>1143</v>
      </c>
      <c r="D1434" s="9" t="s">
        <v>16</v>
      </c>
      <c r="E1434" s="10" t="s">
        <v>14</v>
      </c>
      <c r="F1434" s="6">
        <v>0.0</v>
      </c>
      <c r="G1434" s="7">
        <v>0.0</v>
      </c>
      <c r="H1434" s="12">
        <v>0.0</v>
      </c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</row>
    <row r="1435">
      <c r="A1435" s="11" t="s">
        <v>12</v>
      </c>
      <c r="B1435" s="11" t="s">
        <v>13</v>
      </c>
      <c r="C1435" s="9" t="s">
        <v>1144</v>
      </c>
      <c r="D1435" s="9" t="s">
        <v>16</v>
      </c>
      <c r="E1435" s="10" t="s">
        <v>14</v>
      </c>
      <c r="F1435" s="6">
        <v>0.0</v>
      </c>
      <c r="G1435" s="7">
        <v>0.0</v>
      </c>
      <c r="H1435" s="12">
        <v>0.0</v>
      </c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</row>
    <row r="1436">
      <c r="A1436" s="11" t="s">
        <v>12</v>
      </c>
      <c r="B1436" s="11" t="s">
        <v>13</v>
      </c>
      <c r="C1436" s="9" t="s">
        <v>1145</v>
      </c>
      <c r="D1436" s="9" t="s">
        <v>16</v>
      </c>
      <c r="E1436" s="10" t="s">
        <v>14</v>
      </c>
      <c r="F1436" s="6">
        <v>0.0</v>
      </c>
      <c r="G1436" s="7">
        <v>0.0</v>
      </c>
      <c r="H1436" s="12">
        <v>0.0</v>
      </c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</row>
    <row r="1437">
      <c r="A1437" s="11" t="s">
        <v>7</v>
      </c>
      <c r="B1437" s="11" t="s">
        <v>13</v>
      </c>
      <c r="C1437" s="9" t="s">
        <v>1146</v>
      </c>
      <c r="D1437" s="9" t="s">
        <v>32</v>
      </c>
      <c r="E1437" s="9" t="s">
        <v>98</v>
      </c>
      <c r="F1437" s="6">
        <v>5555000.0</v>
      </c>
      <c r="G1437" s="7">
        <v>0.0</v>
      </c>
      <c r="H1437" s="12" t="str">
        <f t="array" ref="H1437">XLOOKUP(C:C,Sheet3!A:A,Sheet3!B:B)</f>
        <v>#N/A</v>
      </c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</row>
    <row r="1438">
      <c r="A1438" s="11" t="s">
        <v>12</v>
      </c>
      <c r="B1438" s="11" t="s">
        <v>13</v>
      </c>
      <c r="C1438" s="9" t="s">
        <v>1146</v>
      </c>
      <c r="D1438" s="9" t="s">
        <v>32</v>
      </c>
      <c r="E1438" s="9" t="s">
        <v>74</v>
      </c>
      <c r="F1438" s="6">
        <v>6300000.0</v>
      </c>
      <c r="G1438" s="7">
        <v>1581382.0</v>
      </c>
      <c r="H1438" s="12" t="str">
        <f t="array" ref="H1438">XLOOKUP(C:C,Sheet3!A:A,Sheet3!B:B)</f>
        <v>#N/A</v>
      </c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</row>
    <row r="1439">
      <c r="A1439" s="11" t="s">
        <v>12</v>
      </c>
      <c r="B1439" s="11" t="s">
        <v>13</v>
      </c>
      <c r="C1439" s="9" t="s">
        <v>1147</v>
      </c>
      <c r="D1439" s="9" t="s">
        <v>16</v>
      </c>
      <c r="E1439" s="10" t="s">
        <v>14</v>
      </c>
      <c r="F1439" s="6">
        <v>0.0</v>
      </c>
      <c r="G1439" s="7">
        <v>5262794.0</v>
      </c>
      <c r="H1439" s="12" t="str">
        <f t="array" ref="H1439">XLOOKUP(C:C,Sheet3!A:A,Sheet3!B:B)</f>
        <v>#N/A</v>
      </c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</row>
    <row r="1440">
      <c r="A1440" s="11" t="s">
        <v>12</v>
      </c>
      <c r="B1440" s="11" t="s">
        <v>13</v>
      </c>
      <c r="C1440" s="9" t="s">
        <v>1148</v>
      </c>
      <c r="D1440" s="9" t="s">
        <v>16</v>
      </c>
      <c r="E1440" s="10" t="s">
        <v>14</v>
      </c>
      <c r="F1440" s="6">
        <v>0.0</v>
      </c>
      <c r="G1440" s="7">
        <v>0.0</v>
      </c>
      <c r="H1440" s="12">
        <v>0.0</v>
      </c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</row>
    <row r="1441">
      <c r="A1441" s="11" t="s">
        <v>7</v>
      </c>
      <c r="B1441" s="11" t="s">
        <v>13</v>
      </c>
      <c r="C1441" s="9" t="s">
        <v>1149</v>
      </c>
      <c r="D1441" s="9" t="s">
        <v>16</v>
      </c>
      <c r="E1441" s="9" t="s">
        <v>98</v>
      </c>
      <c r="F1441" s="6">
        <v>5555000.0</v>
      </c>
      <c r="G1441" s="7">
        <v>0.0</v>
      </c>
      <c r="H1441" s="12" t="str">
        <f t="array" ref="H1441">XLOOKUP(C:C,Sheet3!A:A,Sheet3!B:B)</f>
        <v>#N/A</v>
      </c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</row>
    <row r="1442">
      <c r="A1442" s="11" t="s">
        <v>12</v>
      </c>
      <c r="B1442" s="11" t="s">
        <v>13</v>
      </c>
      <c r="C1442" s="9" t="s">
        <v>1149</v>
      </c>
      <c r="D1442" s="9" t="s">
        <v>16</v>
      </c>
      <c r="E1442" s="9" t="s">
        <v>74</v>
      </c>
      <c r="F1442" s="6">
        <v>1500000.0</v>
      </c>
      <c r="G1442" s="7">
        <v>0.0</v>
      </c>
      <c r="H1442" s="12" t="str">
        <f t="array" ref="H1442">XLOOKUP(C:C,Sheet3!A:A,Sheet3!B:B)</f>
        <v>#N/A</v>
      </c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</row>
    <row r="1443">
      <c r="A1443" s="11" t="s">
        <v>7</v>
      </c>
      <c r="B1443" s="11" t="s">
        <v>13</v>
      </c>
      <c r="C1443" s="9" t="s">
        <v>1150</v>
      </c>
      <c r="D1443" s="9" t="s">
        <v>83</v>
      </c>
      <c r="E1443" s="9" t="s">
        <v>104</v>
      </c>
      <c r="F1443" s="6">
        <v>1.12E7</v>
      </c>
      <c r="G1443" s="7">
        <v>0.0</v>
      </c>
      <c r="H1443" s="12" t="str">
        <f t="array" ref="H1443">XLOOKUP(C:C,Sheet3!A:A,Sheet3!B:B)</f>
        <v>#N/A</v>
      </c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</row>
    <row r="1444">
      <c r="A1444" s="11" t="s">
        <v>12</v>
      </c>
      <c r="B1444" s="11" t="s">
        <v>13</v>
      </c>
      <c r="C1444" s="9" t="s">
        <v>1150</v>
      </c>
      <c r="D1444" s="9" t="s">
        <v>83</v>
      </c>
      <c r="E1444" s="9" t="s">
        <v>84</v>
      </c>
      <c r="F1444" s="6">
        <v>1.12E7</v>
      </c>
      <c r="G1444" s="7">
        <v>9329233.0</v>
      </c>
      <c r="H1444" s="12" t="str">
        <f t="array" ref="H1444">XLOOKUP(C:C,Sheet3!A:A,Sheet3!B:B)</f>
        <v>#N/A</v>
      </c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</row>
    <row r="1445">
      <c r="A1445" s="11" t="s">
        <v>12</v>
      </c>
      <c r="B1445" s="11" t="s">
        <v>13</v>
      </c>
      <c r="C1445" s="9" t="s">
        <v>1151</v>
      </c>
      <c r="D1445" s="9" t="s">
        <v>16</v>
      </c>
      <c r="E1445" s="9" t="s">
        <v>84</v>
      </c>
      <c r="F1445" s="6">
        <v>0.0</v>
      </c>
      <c r="G1445" s="7">
        <v>0.0</v>
      </c>
      <c r="H1445" s="12">
        <v>0.0</v>
      </c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</row>
    <row r="1446">
      <c r="A1446" s="11" t="s">
        <v>12</v>
      </c>
      <c r="B1446" s="11" t="s">
        <v>13</v>
      </c>
      <c r="C1446" s="9" t="s">
        <v>1152</v>
      </c>
      <c r="D1446" s="9" t="s">
        <v>32</v>
      </c>
      <c r="E1446" s="9" t="s">
        <v>17</v>
      </c>
      <c r="F1446" s="6">
        <v>1650000.0</v>
      </c>
      <c r="G1446" s="7">
        <v>1124311.0</v>
      </c>
      <c r="H1446" s="12" t="str">
        <f t="array" ref="H1446">XLOOKUP(C:C,Sheet3!A:A,Sheet3!B:B)</f>
        <v>#N/A</v>
      </c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</row>
    <row r="1447">
      <c r="A1447" s="11" t="s">
        <v>12</v>
      </c>
      <c r="B1447" s="11" t="s">
        <v>13</v>
      </c>
      <c r="C1447" s="9" t="s">
        <v>1153</v>
      </c>
      <c r="D1447" s="9" t="s">
        <v>32</v>
      </c>
      <c r="E1447" s="10" t="s">
        <v>14</v>
      </c>
      <c r="F1447" s="6">
        <v>0.0</v>
      </c>
      <c r="G1447" s="7">
        <v>0.0</v>
      </c>
      <c r="H1447" s="12" t="str">
        <f t="array" ref="H1447">XLOOKUP(C:C,Sheet3!A:A,Sheet3!B:B)</f>
        <v>#N/A</v>
      </c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</row>
    <row r="1448">
      <c r="A1448" s="11" t="s">
        <v>12</v>
      </c>
      <c r="B1448" s="11" t="s">
        <v>13</v>
      </c>
      <c r="C1448" s="9" t="s">
        <v>1154</v>
      </c>
      <c r="D1448" s="9" t="s">
        <v>16</v>
      </c>
      <c r="E1448" s="9" t="s">
        <v>84</v>
      </c>
      <c r="F1448" s="6">
        <v>0.0</v>
      </c>
      <c r="G1448" s="7">
        <v>0.0</v>
      </c>
      <c r="H1448" s="12">
        <v>0.0</v>
      </c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</row>
    <row r="1449">
      <c r="A1449" s="11" t="s">
        <v>12</v>
      </c>
      <c r="B1449" s="11" t="s">
        <v>13</v>
      </c>
      <c r="C1449" s="9" t="s">
        <v>1155</v>
      </c>
      <c r="D1449" s="9" t="s">
        <v>16</v>
      </c>
      <c r="E1449" s="10" t="s">
        <v>14</v>
      </c>
      <c r="F1449" s="6">
        <v>0.0</v>
      </c>
      <c r="G1449" s="7">
        <v>0.0</v>
      </c>
      <c r="H1449" s="12">
        <v>0.0</v>
      </c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</row>
    <row r="1450">
      <c r="A1450" s="11" t="s">
        <v>7</v>
      </c>
      <c r="B1450" s="11" t="s">
        <v>13</v>
      </c>
      <c r="C1450" s="9" t="s">
        <v>1156</v>
      </c>
      <c r="D1450" s="9" t="s">
        <v>32</v>
      </c>
      <c r="E1450" s="9" t="s">
        <v>49</v>
      </c>
      <c r="F1450" s="6">
        <v>100000.0</v>
      </c>
      <c r="G1450" s="7">
        <v>0.0</v>
      </c>
      <c r="H1450" s="12" t="str">
        <f t="array" ref="H1450">XLOOKUP(C:C,Sheet3!A:A,Sheet3!B:B)</f>
        <v>#N/A</v>
      </c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</row>
    <row r="1451">
      <c r="A1451" s="11" t="s">
        <v>12</v>
      </c>
      <c r="B1451" s="11" t="s">
        <v>13</v>
      </c>
      <c r="C1451" s="9" t="s">
        <v>1156</v>
      </c>
      <c r="D1451" s="9" t="s">
        <v>32</v>
      </c>
      <c r="E1451" s="10" t="s">
        <v>14</v>
      </c>
      <c r="F1451" s="6">
        <v>0.0</v>
      </c>
      <c r="G1451" s="7">
        <v>0.0</v>
      </c>
      <c r="H1451" s="12" t="str">
        <f t="array" ref="H1451">XLOOKUP(C:C,Sheet3!A:A,Sheet3!B:B)</f>
        <v>#N/A</v>
      </c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</row>
    <row r="1452">
      <c r="A1452" s="11" t="s">
        <v>12</v>
      </c>
      <c r="B1452" s="11" t="s">
        <v>13</v>
      </c>
      <c r="C1452" s="9" t="s">
        <v>1157</v>
      </c>
      <c r="D1452" s="9" t="s">
        <v>16</v>
      </c>
      <c r="E1452" s="10" t="s">
        <v>14</v>
      </c>
      <c r="F1452" s="6">
        <v>0.0</v>
      </c>
      <c r="G1452" s="7">
        <v>0.0</v>
      </c>
      <c r="H1452" s="12">
        <v>0.0</v>
      </c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</row>
    <row r="1453">
      <c r="A1453" s="11" t="s">
        <v>12</v>
      </c>
      <c r="B1453" s="11" t="s">
        <v>13</v>
      </c>
      <c r="C1453" s="9" t="s">
        <v>1158</v>
      </c>
      <c r="D1453" s="9" t="s">
        <v>16</v>
      </c>
      <c r="E1453" s="10" t="s">
        <v>14</v>
      </c>
      <c r="F1453" s="6">
        <v>0.0</v>
      </c>
      <c r="G1453" s="7">
        <v>0.0</v>
      </c>
      <c r="H1453" s="12">
        <v>0.0</v>
      </c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</row>
    <row r="1454">
      <c r="A1454" s="11" t="s">
        <v>7</v>
      </c>
      <c r="B1454" s="11" t="s">
        <v>13</v>
      </c>
      <c r="C1454" s="9" t="s">
        <v>1159</v>
      </c>
      <c r="D1454" s="9" t="s">
        <v>32</v>
      </c>
      <c r="E1454" s="9" t="s">
        <v>33</v>
      </c>
      <c r="F1454" s="6">
        <v>70000.0</v>
      </c>
      <c r="G1454" s="7">
        <v>0.0</v>
      </c>
      <c r="H1454" s="12">
        <v>0.0</v>
      </c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</row>
    <row r="1455">
      <c r="A1455" s="11" t="s">
        <v>12</v>
      </c>
      <c r="B1455" s="11" t="s">
        <v>13</v>
      </c>
      <c r="C1455" s="9" t="s">
        <v>1159</v>
      </c>
      <c r="D1455" s="9" t="s">
        <v>32</v>
      </c>
      <c r="E1455" s="10" t="s">
        <v>14</v>
      </c>
      <c r="F1455" s="6">
        <v>100000.0</v>
      </c>
      <c r="G1455" s="7">
        <v>546160.0</v>
      </c>
      <c r="H1455" s="12">
        <v>0.0</v>
      </c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</row>
    <row r="1456">
      <c r="A1456" s="11" t="s">
        <v>12</v>
      </c>
      <c r="B1456" s="11" t="s">
        <v>13</v>
      </c>
      <c r="C1456" s="9" t="s">
        <v>1160</v>
      </c>
      <c r="D1456" s="9" t="s">
        <v>16</v>
      </c>
      <c r="E1456" s="10" t="s">
        <v>14</v>
      </c>
      <c r="F1456" s="6">
        <v>0.0</v>
      </c>
      <c r="G1456" s="7">
        <v>0.0</v>
      </c>
      <c r="H1456" s="12">
        <v>0.0</v>
      </c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</row>
    <row r="1457">
      <c r="A1457" s="11" t="s">
        <v>12</v>
      </c>
      <c r="B1457" s="11" t="s">
        <v>13</v>
      </c>
      <c r="C1457" s="9" t="s">
        <v>1161</v>
      </c>
      <c r="D1457" s="9" t="s">
        <v>16</v>
      </c>
      <c r="E1457" s="10" t="s">
        <v>14</v>
      </c>
      <c r="F1457" s="6">
        <v>0.0</v>
      </c>
      <c r="G1457" s="7">
        <v>0.0</v>
      </c>
      <c r="H1457" s="12">
        <v>0.0</v>
      </c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</row>
    <row r="1458">
      <c r="A1458" s="11" t="s">
        <v>12</v>
      </c>
      <c r="B1458" s="11" t="s">
        <v>13</v>
      </c>
      <c r="C1458" s="9" t="s">
        <v>1162</v>
      </c>
      <c r="D1458" s="9" t="s">
        <v>16</v>
      </c>
      <c r="E1458" s="10" t="s">
        <v>14</v>
      </c>
      <c r="F1458" s="6">
        <v>0.0</v>
      </c>
      <c r="G1458" s="7">
        <v>0.0</v>
      </c>
      <c r="H1458" s="12">
        <v>0.0</v>
      </c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</row>
    <row r="1459">
      <c r="A1459" s="11" t="s">
        <v>7</v>
      </c>
      <c r="B1459" s="11" t="s">
        <v>8</v>
      </c>
      <c r="C1459" s="9" t="s">
        <v>1163</v>
      </c>
      <c r="D1459" s="9" t="s">
        <v>48</v>
      </c>
      <c r="E1459" s="9" t="s">
        <v>74</v>
      </c>
      <c r="F1459" s="6">
        <v>0.0</v>
      </c>
      <c r="G1459" s="7">
        <v>0.0</v>
      </c>
      <c r="H1459" s="12" t="str">
        <f t="array" ref="H1459">XLOOKUP(C:C,Sheet3!A:A,Sheet3!B:B)</f>
        <v>#N/A</v>
      </c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</row>
    <row r="1460">
      <c r="A1460" s="11" t="s">
        <v>12</v>
      </c>
      <c r="B1460" s="11" t="s">
        <v>8</v>
      </c>
      <c r="C1460" s="9" t="s">
        <v>1163</v>
      </c>
      <c r="D1460" s="9" t="s">
        <v>48</v>
      </c>
      <c r="E1460" s="9" t="s">
        <v>74</v>
      </c>
      <c r="F1460" s="6">
        <v>1286598.0</v>
      </c>
      <c r="G1460" s="7">
        <v>256.0</v>
      </c>
      <c r="H1460" s="12" t="str">
        <f t="array" ref="H1460">XLOOKUP(C:C,Sheet3!A:A,Sheet3!B:B)</f>
        <v>#N/A</v>
      </c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</row>
    <row r="1461">
      <c r="A1461" s="11" t="s">
        <v>12</v>
      </c>
      <c r="B1461" s="11" t="s">
        <v>13</v>
      </c>
      <c r="C1461" s="9" t="s">
        <v>1164</v>
      </c>
      <c r="D1461" s="9" t="s">
        <v>16</v>
      </c>
      <c r="E1461" s="10" t="s">
        <v>14</v>
      </c>
      <c r="F1461" s="6">
        <v>0.0</v>
      </c>
      <c r="G1461" s="7">
        <v>0.0</v>
      </c>
      <c r="H1461" s="12">
        <v>0.0</v>
      </c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</row>
    <row r="1462">
      <c r="A1462" s="11" t="s">
        <v>7</v>
      </c>
      <c r="B1462" s="11" t="s">
        <v>8</v>
      </c>
      <c r="C1462" s="9" t="s">
        <v>1165</v>
      </c>
      <c r="D1462" s="9" t="s">
        <v>32</v>
      </c>
      <c r="E1462" s="10" t="s">
        <v>14</v>
      </c>
      <c r="F1462" s="6">
        <v>0.0</v>
      </c>
      <c r="G1462" s="7">
        <v>0.0</v>
      </c>
      <c r="H1462" s="12" t="str">
        <f t="array" ref="H1462">XLOOKUP(C:C,Sheet3!A:A,Sheet3!B:B)</f>
        <v>#N/A</v>
      </c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</row>
    <row r="1463">
      <c r="A1463" s="11" t="s">
        <v>7</v>
      </c>
      <c r="B1463" s="11" t="s">
        <v>13</v>
      </c>
      <c r="C1463" s="9" t="s">
        <v>1165</v>
      </c>
      <c r="D1463" s="9" t="s">
        <v>32</v>
      </c>
      <c r="E1463" s="9" t="s">
        <v>763</v>
      </c>
      <c r="F1463" s="6">
        <v>7200000.0</v>
      </c>
      <c r="G1463" s="7">
        <v>0.0</v>
      </c>
      <c r="H1463" s="12" t="str">
        <f t="array" ref="H1463">XLOOKUP(C:C,Sheet3!A:A,Sheet3!B:B)</f>
        <v>#N/A</v>
      </c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</row>
    <row r="1464">
      <c r="A1464" s="11" t="s">
        <v>12</v>
      </c>
      <c r="B1464" s="11" t="s">
        <v>13</v>
      </c>
      <c r="C1464" s="9" t="s">
        <v>1165</v>
      </c>
      <c r="D1464" s="9" t="s">
        <v>32</v>
      </c>
      <c r="E1464" s="9" t="s">
        <v>80</v>
      </c>
      <c r="F1464" s="6">
        <v>7200000.0</v>
      </c>
      <c r="G1464" s="7">
        <v>2702213.0</v>
      </c>
      <c r="H1464" s="12" t="str">
        <f t="array" ref="H1464">XLOOKUP(C:C,Sheet3!A:A,Sheet3!B:B)</f>
        <v>#N/A</v>
      </c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</row>
    <row r="1465">
      <c r="A1465" s="11" t="s">
        <v>12</v>
      </c>
      <c r="B1465" s="11" t="s">
        <v>13</v>
      </c>
      <c r="C1465" s="9" t="s">
        <v>1166</v>
      </c>
      <c r="D1465" s="9" t="s">
        <v>32</v>
      </c>
      <c r="E1465" s="10" t="s">
        <v>14</v>
      </c>
      <c r="F1465" s="6">
        <v>0.0</v>
      </c>
      <c r="G1465" s="7">
        <v>-2100000.0</v>
      </c>
      <c r="H1465" s="12" t="str">
        <f t="array" ref="H1465">XLOOKUP(C:C,Sheet3!A:A,Sheet3!B:B)</f>
        <v>#N/A</v>
      </c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</row>
    <row r="1466">
      <c r="A1466" s="11" t="s">
        <v>12</v>
      </c>
      <c r="B1466" s="11" t="s">
        <v>13</v>
      </c>
      <c r="C1466" s="9" t="s">
        <v>1167</v>
      </c>
      <c r="D1466" s="9" t="s">
        <v>16</v>
      </c>
      <c r="E1466" s="9" t="s">
        <v>49</v>
      </c>
      <c r="F1466" s="6">
        <v>200000.0</v>
      </c>
      <c r="G1466" s="7">
        <v>84016.0</v>
      </c>
      <c r="H1466" s="12" t="str">
        <f t="array" ref="H1466">XLOOKUP(C:C,Sheet3!A:A,Sheet3!B:B)</f>
        <v>#N/A</v>
      </c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</row>
    <row r="1467">
      <c r="A1467" s="11" t="s">
        <v>7</v>
      </c>
      <c r="B1467" s="11" t="s">
        <v>13</v>
      </c>
      <c r="C1467" s="9" t="s">
        <v>1168</v>
      </c>
      <c r="D1467" s="9" t="s">
        <v>16</v>
      </c>
      <c r="E1467" s="10" t="s">
        <v>14</v>
      </c>
      <c r="F1467" s="6">
        <v>0.0</v>
      </c>
      <c r="G1467" s="7">
        <v>0.0</v>
      </c>
      <c r="H1467" s="12">
        <v>0.0</v>
      </c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</row>
    <row r="1468">
      <c r="A1468" s="11" t="s">
        <v>12</v>
      </c>
      <c r="B1468" s="11" t="s">
        <v>13</v>
      </c>
      <c r="C1468" s="9" t="s">
        <v>1168</v>
      </c>
      <c r="D1468" s="9" t="s">
        <v>16</v>
      </c>
      <c r="E1468" s="10" t="s">
        <v>14</v>
      </c>
      <c r="F1468" s="6">
        <v>0.0</v>
      </c>
      <c r="G1468" s="7">
        <v>0.0</v>
      </c>
      <c r="H1468" s="12">
        <v>0.0</v>
      </c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</row>
    <row r="1469">
      <c r="A1469" s="11" t="s">
        <v>7</v>
      </c>
      <c r="B1469" s="11" t="s">
        <v>13</v>
      </c>
      <c r="C1469" s="9" t="s">
        <v>1169</v>
      </c>
      <c r="D1469" s="9" t="s">
        <v>32</v>
      </c>
      <c r="E1469" s="9" t="s">
        <v>144</v>
      </c>
      <c r="F1469" s="6">
        <v>610000.0</v>
      </c>
      <c r="G1469" s="7">
        <v>0.0</v>
      </c>
      <c r="H1469" s="12" t="str">
        <f t="array" ref="H1469">XLOOKUP(C:C,Sheet3!A:A,Sheet3!B:B)</f>
        <v>#N/A</v>
      </c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</row>
    <row r="1470">
      <c r="A1470" s="11" t="s">
        <v>12</v>
      </c>
      <c r="B1470" s="11" t="s">
        <v>13</v>
      </c>
      <c r="C1470" s="9" t="s">
        <v>1169</v>
      </c>
      <c r="D1470" s="9" t="s">
        <v>32</v>
      </c>
      <c r="E1470" s="9" t="s">
        <v>49</v>
      </c>
      <c r="F1470" s="6">
        <v>610000.0</v>
      </c>
      <c r="G1470" s="7">
        <v>20768.0</v>
      </c>
      <c r="H1470" s="12" t="str">
        <f t="array" ref="H1470">XLOOKUP(C:C,Sheet3!A:A,Sheet3!B:B)</f>
        <v>#N/A</v>
      </c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</row>
    <row r="1471">
      <c r="A1471" s="11" t="s">
        <v>12</v>
      </c>
      <c r="B1471" s="11" t="s">
        <v>13</v>
      </c>
      <c r="C1471" s="9" t="s">
        <v>1170</v>
      </c>
      <c r="D1471" s="9" t="s">
        <v>16</v>
      </c>
      <c r="E1471" s="10" t="s">
        <v>14</v>
      </c>
      <c r="F1471" s="6">
        <v>0.0</v>
      </c>
      <c r="G1471" s="7">
        <v>0.0</v>
      </c>
      <c r="H1471" s="12">
        <v>0.0</v>
      </c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</row>
    <row r="1472">
      <c r="A1472" s="11" t="s">
        <v>7</v>
      </c>
      <c r="B1472" s="11" t="s">
        <v>13</v>
      </c>
      <c r="C1472" s="9" t="s">
        <v>1171</v>
      </c>
      <c r="D1472" s="9" t="s">
        <v>16</v>
      </c>
      <c r="E1472" s="9" t="s">
        <v>23</v>
      </c>
      <c r="F1472" s="6">
        <v>2600000.0</v>
      </c>
      <c r="G1472" s="7">
        <v>0.0</v>
      </c>
      <c r="H1472" s="12" t="str">
        <f t="array" ref="H1472">XLOOKUP(C:C,Sheet3!A:A,Sheet3!B:B)</f>
        <v>#N/A</v>
      </c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</row>
    <row r="1473">
      <c r="A1473" s="11" t="s">
        <v>12</v>
      </c>
      <c r="B1473" s="11" t="s">
        <v>13</v>
      </c>
      <c r="C1473" s="9" t="s">
        <v>1171</v>
      </c>
      <c r="D1473" s="9" t="s">
        <v>16</v>
      </c>
      <c r="E1473" s="9" t="s">
        <v>17</v>
      </c>
      <c r="F1473" s="6">
        <v>2600000.0</v>
      </c>
      <c r="G1473" s="7">
        <v>823695.0</v>
      </c>
      <c r="H1473" s="12" t="str">
        <f t="array" ref="H1473">XLOOKUP(C:C,Sheet3!A:A,Sheet3!B:B)</f>
        <v>#N/A</v>
      </c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</row>
    <row r="1474">
      <c r="A1474" s="11" t="s">
        <v>12</v>
      </c>
      <c r="B1474" s="11" t="s">
        <v>13</v>
      </c>
      <c r="C1474" s="9" t="s">
        <v>1172</v>
      </c>
      <c r="D1474" s="9" t="s">
        <v>16</v>
      </c>
      <c r="E1474" s="10" t="s">
        <v>14</v>
      </c>
      <c r="F1474" s="6">
        <v>0.0</v>
      </c>
      <c r="G1474" s="7">
        <v>0.0</v>
      </c>
      <c r="H1474" s="12">
        <v>0.0</v>
      </c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</row>
    <row r="1475">
      <c r="A1475" s="11" t="s">
        <v>12</v>
      </c>
      <c r="B1475" s="11" t="s">
        <v>13</v>
      </c>
      <c r="C1475" s="9" t="s">
        <v>1173</v>
      </c>
      <c r="D1475" s="9" t="s">
        <v>16</v>
      </c>
      <c r="E1475" s="10" t="s">
        <v>14</v>
      </c>
      <c r="F1475" s="6">
        <v>0.0</v>
      </c>
      <c r="G1475" s="7">
        <v>0.0</v>
      </c>
      <c r="H1475" s="12">
        <v>0.0</v>
      </c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</row>
    <row r="1476">
      <c r="A1476" s="11" t="s">
        <v>12</v>
      </c>
      <c r="B1476" s="11" t="s">
        <v>13</v>
      </c>
      <c r="C1476" s="9" t="s">
        <v>1174</v>
      </c>
      <c r="D1476" s="9" t="s">
        <v>16</v>
      </c>
      <c r="E1476" s="10" t="s">
        <v>14</v>
      </c>
      <c r="F1476" s="6">
        <v>0.0</v>
      </c>
      <c r="G1476" s="7">
        <v>0.0</v>
      </c>
      <c r="H1476" s="12">
        <v>0.0</v>
      </c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</row>
    <row r="1477">
      <c r="A1477" s="11" t="s">
        <v>12</v>
      </c>
      <c r="B1477" s="11" t="s">
        <v>8</v>
      </c>
      <c r="C1477" s="9" t="s">
        <v>1175</v>
      </c>
      <c r="D1477" s="9" t="s">
        <v>16</v>
      </c>
      <c r="E1477" s="10" t="s">
        <v>14</v>
      </c>
      <c r="F1477" s="6">
        <v>50000.0</v>
      </c>
      <c r="G1477" s="7">
        <v>0.0</v>
      </c>
      <c r="H1477" s="12" t="str">
        <f t="array" ref="H1477">XLOOKUP(C:C,Sheet3!A:A,Sheet3!B:B)</f>
        <v>#N/A</v>
      </c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</row>
    <row r="1478">
      <c r="A1478" s="11" t="s">
        <v>12</v>
      </c>
      <c r="B1478" s="11" t="s">
        <v>13</v>
      </c>
      <c r="C1478" s="9" t="s">
        <v>1176</v>
      </c>
      <c r="D1478" s="9" t="s">
        <v>16</v>
      </c>
      <c r="E1478" s="9" t="s">
        <v>49</v>
      </c>
      <c r="F1478" s="6">
        <v>550000.0</v>
      </c>
      <c r="G1478" s="7">
        <v>0.0</v>
      </c>
      <c r="H1478" s="12" t="str">
        <f t="array" ref="H1478">XLOOKUP(C:C,Sheet3!A:A,Sheet3!B:B)</f>
        <v>#N/A</v>
      </c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</row>
    <row r="1479">
      <c r="A1479" s="11" t="s">
        <v>12</v>
      </c>
      <c r="B1479" s="11" t="s">
        <v>13</v>
      </c>
      <c r="C1479" s="9" t="s">
        <v>1177</v>
      </c>
      <c r="D1479" s="9" t="s">
        <v>16</v>
      </c>
      <c r="E1479" s="10" t="s">
        <v>14</v>
      </c>
      <c r="F1479" s="6">
        <v>0.0</v>
      </c>
      <c r="G1479" s="7">
        <v>0.0</v>
      </c>
      <c r="H1479" s="12">
        <v>0.0</v>
      </c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</row>
    <row r="1480">
      <c r="A1480" s="11" t="s">
        <v>12</v>
      </c>
      <c r="B1480" s="11" t="s">
        <v>13</v>
      </c>
      <c r="C1480" s="9" t="s">
        <v>1178</v>
      </c>
      <c r="D1480" s="9" t="s">
        <v>16</v>
      </c>
      <c r="E1480" s="10" t="s">
        <v>14</v>
      </c>
      <c r="F1480" s="6">
        <v>0.0</v>
      </c>
      <c r="G1480" s="7">
        <v>0.0</v>
      </c>
      <c r="H1480" s="12">
        <v>0.0</v>
      </c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</row>
    <row r="1481">
      <c r="A1481" s="11" t="s">
        <v>12</v>
      </c>
      <c r="B1481" s="11" t="s">
        <v>13</v>
      </c>
      <c r="C1481" s="9" t="s">
        <v>1179</v>
      </c>
      <c r="D1481" s="9" t="s">
        <v>16</v>
      </c>
      <c r="E1481" s="10" t="s">
        <v>14</v>
      </c>
      <c r="F1481" s="6">
        <v>20000.0</v>
      </c>
      <c r="G1481" s="7">
        <v>5946.0</v>
      </c>
      <c r="H1481" s="12" t="str">
        <f t="array" ref="H1481">XLOOKUP(C:C,Sheet3!A:A,Sheet3!B:B)</f>
        <v>#N/A</v>
      </c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</row>
    <row r="1482">
      <c r="A1482" s="11" t="s">
        <v>12</v>
      </c>
      <c r="B1482" s="11" t="s">
        <v>13</v>
      </c>
      <c r="C1482" s="9" t="s">
        <v>1180</v>
      </c>
      <c r="D1482" s="9" t="s">
        <v>16</v>
      </c>
      <c r="E1482" s="10" t="s">
        <v>14</v>
      </c>
      <c r="F1482" s="6">
        <v>0.0</v>
      </c>
      <c r="G1482" s="7">
        <v>0.0</v>
      </c>
      <c r="H1482" s="12">
        <v>0.0</v>
      </c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</row>
    <row r="1483">
      <c r="A1483" s="11" t="s">
        <v>12</v>
      </c>
      <c r="B1483" s="11" t="s">
        <v>13</v>
      </c>
      <c r="C1483" s="9" t="s">
        <v>1181</v>
      </c>
      <c r="D1483" s="9" t="s">
        <v>16</v>
      </c>
      <c r="E1483" s="10" t="s">
        <v>14</v>
      </c>
      <c r="F1483" s="6">
        <v>0.0</v>
      </c>
      <c r="G1483" s="7">
        <v>0.0</v>
      </c>
      <c r="H1483" s="12">
        <v>0.0</v>
      </c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</row>
    <row r="1484">
      <c r="A1484" s="11" t="s">
        <v>12</v>
      </c>
      <c r="B1484" s="11" t="s">
        <v>13</v>
      </c>
      <c r="C1484" s="9" t="s">
        <v>1182</v>
      </c>
      <c r="D1484" s="9" t="s">
        <v>16</v>
      </c>
      <c r="E1484" s="10" t="s">
        <v>14</v>
      </c>
      <c r="F1484" s="6">
        <v>0.0</v>
      </c>
      <c r="G1484" s="7">
        <v>415050.0</v>
      </c>
      <c r="H1484" s="12" t="str">
        <f t="array" ref="H1484">XLOOKUP(C:C,Sheet3!A:A,Sheet3!B:B)</f>
        <v>#N/A</v>
      </c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</row>
    <row r="1485">
      <c r="A1485" s="11" t="s">
        <v>12</v>
      </c>
      <c r="B1485" s="11" t="s">
        <v>13</v>
      </c>
      <c r="C1485" s="9" t="s">
        <v>1183</v>
      </c>
      <c r="D1485" s="9" t="s">
        <v>16</v>
      </c>
      <c r="E1485" s="10" t="s">
        <v>14</v>
      </c>
      <c r="F1485" s="6">
        <v>0.0</v>
      </c>
      <c r="G1485" s="7">
        <v>0.0</v>
      </c>
      <c r="H1485" s="12">
        <v>0.0</v>
      </c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</row>
    <row r="1486">
      <c r="A1486" s="11" t="s">
        <v>12</v>
      </c>
      <c r="B1486" s="11" t="s">
        <v>13</v>
      </c>
      <c r="C1486" s="9" t="s">
        <v>1184</v>
      </c>
      <c r="D1486" s="9" t="s">
        <v>16</v>
      </c>
      <c r="E1486" s="10" t="s">
        <v>14</v>
      </c>
      <c r="F1486" s="6">
        <v>0.0</v>
      </c>
      <c r="G1486" s="7">
        <v>0.0</v>
      </c>
      <c r="H1486" s="12">
        <v>0.0</v>
      </c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</row>
    <row r="1487">
      <c r="A1487" s="11" t="s">
        <v>12</v>
      </c>
      <c r="B1487" s="11" t="s">
        <v>13</v>
      </c>
      <c r="C1487" s="9" t="s">
        <v>1185</v>
      </c>
      <c r="D1487" s="9" t="s">
        <v>16</v>
      </c>
      <c r="E1487" s="10" t="s">
        <v>14</v>
      </c>
      <c r="F1487" s="6">
        <v>0.0</v>
      </c>
      <c r="G1487" s="7">
        <v>0.0</v>
      </c>
      <c r="H1487" s="12">
        <v>0.0</v>
      </c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</row>
    <row r="1488">
      <c r="A1488" s="11" t="s">
        <v>12</v>
      </c>
      <c r="B1488" s="11" t="s">
        <v>8</v>
      </c>
      <c r="C1488" s="9" t="s">
        <v>1186</v>
      </c>
      <c r="D1488" s="9" t="s">
        <v>16</v>
      </c>
      <c r="E1488" s="9" t="s">
        <v>49</v>
      </c>
      <c r="F1488" s="6">
        <v>75000.0</v>
      </c>
      <c r="G1488" s="7">
        <v>74811.0</v>
      </c>
      <c r="H1488" s="12" t="str">
        <f t="array" ref="H1488">XLOOKUP(C:C,Sheet3!A:A,Sheet3!B:B)</f>
        <v>#N/A</v>
      </c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</row>
    <row r="1489">
      <c r="A1489" s="11" t="s">
        <v>12</v>
      </c>
      <c r="B1489" s="11" t="s">
        <v>13</v>
      </c>
      <c r="C1489" s="9" t="s">
        <v>1187</v>
      </c>
      <c r="D1489" s="9" t="s">
        <v>32</v>
      </c>
      <c r="E1489" s="9" t="s">
        <v>49</v>
      </c>
      <c r="F1489" s="6">
        <v>2100000.0</v>
      </c>
      <c r="G1489" s="7">
        <v>731300.0</v>
      </c>
      <c r="H1489" s="12" t="str">
        <f t="array" ref="H1489">XLOOKUP(C:C,Sheet3!A:A,Sheet3!B:B)</f>
        <v>#N/A</v>
      </c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</row>
    <row r="1490">
      <c r="A1490" s="11" t="s">
        <v>12</v>
      </c>
      <c r="B1490" s="11" t="s">
        <v>13</v>
      </c>
      <c r="C1490" s="9" t="s">
        <v>1188</v>
      </c>
      <c r="D1490" s="9" t="s">
        <v>16</v>
      </c>
      <c r="E1490" s="10" t="s">
        <v>14</v>
      </c>
      <c r="F1490" s="6">
        <v>0.0</v>
      </c>
      <c r="G1490" s="7">
        <v>0.0</v>
      </c>
      <c r="H1490" s="12">
        <v>0.0</v>
      </c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</row>
    <row r="1491">
      <c r="A1491" s="11" t="s">
        <v>7</v>
      </c>
      <c r="B1491" s="11" t="s">
        <v>13</v>
      </c>
      <c r="C1491" s="9" t="s">
        <v>1189</v>
      </c>
      <c r="D1491" s="9" t="s">
        <v>16</v>
      </c>
      <c r="E1491" s="10" t="s">
        <v>14</v>
      </c>
      <c r="F1491" s="6">
        <v>0.0</v>
      </c>
      <c r="G1491" s="7">
        <v>0.0</v>
      </c>
      <c r="H1491" s="12" t="str">
        <f t="array" ref="H1491">XLOOKUP(C:C,Sheet3!A:A,Sheet3!B:B)</f>
        <v>#N/A</v>
      </c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</row>
    <row r="1492">
      <c r="A1492" s="11" t="s">
        <v>12</v>
      </c>
      <c r="B1492" s="11" t="s">
        <v>13</v>
      </c>
      <c r="C1492" s="9" t="s">
        <v>1189</v>
      </c>
      <c r="D1492" s="9" t="s">
        <v>16</v>
      </c>
      <c r="E1492" s="9" t="s">
        <v>1100</v>
      </c>
      <c r="F1492" s="6">
        <v>4720.0</v>
      </c>
      <c r="G1492" s="7">
        <v>0.0</v>
      </c>
      <c r="H1492" s="12" t="str">
        <f t="array" ref="H1492">XLOOKUP(C:C,Sheet3!A:A,Sheet3!B:B)</f>
        <v>#N/A</v>
      </c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</row>
    <row r="1493">
      <c r="A1493" s="11" t="s">
        <v>12</v>
      </c>
      <c r="B1493" s="11" t="s">
        <v>13</v>
      </c>
      <c r="C1493" s="9" t="s">
        <v>1190</v>
      </c>
      <c r="D1493" s="9" t="s">
        <v>16</v>
      </c>
      <c r="E1493" s="10" t="s">
        <v>14</v>
      </c>
      <c r="F1493" s="6">
        <v>0.0</v>
      </c>
      <c r="G1493" s="7">
        <v>0.0</v>
      </c>
      <c r="H1493" s="12">
        <v>0.0</v>
      </c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</row>
    <row r="1494">
      <c r="A1494" s="11" t="s">
        <v>12</v>
      </c>
      <c r="B1494" s="11" t="s">
        <v>13</v>
      </c>
      <c r="C1494" s="9" t="s">
        <v>1191</v>
      </c>
      <c r="D1494" s="9" t="s">
        <v>16</v>
      </c>
      <c r="E1494" s="10" t="s">
        <v>14</v>
      </c>
      <c r="F1494" s="6">
        <v>0.0</v>
      </c>
      <c r="G1494" s="7">
        <v>0.0</v>
      </c>
      <c r="H1494" s="12">
        <v>0.0</v>
      </c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</row>
    <row r="1495">
      <c r="A1495" s="11" t="s">
        <v>12</v>
      </c>
      <c r="B1495" s="11" t="s">
        <v>13</v>
      </c>
      <c r="C1495" s="9" t="s">
        <v>1192</v>
      </c>
      <c r="D1495" s="9" t="s">
        <v>16</v>
      </c>
      <c r="E1495" s="10" t="s">
        <v>14</v>
      </c>
      <c r="F1495" s="6">
        <v>0.0</v>
      </c>
      <c r="G1495" s="7">
        <v>579642.81</v>
      </c>
      <c r="H1495" s="12">
        <v>0.0</v>
      </c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</row>
    <row r="1496">
      <c r="A1496" s="11" t="s">
        <v>12</v>
      </c>
      <c r="B1496" s="11" t="s">
        <v>13</v>
      </c>
      <c r="C1496" s="9" t="s">
        <v>1193</v>
      </c>
      <c r="D1496" s="9" t="s">
        <v>16</v>
      </c>
      <c r="E1496" s="10" t="s">
        <v>14</v>
      </c>
      <c r="F1496" s="6">
        <v>0.0</v>
      </c>
      <c r="G1496" s="7">
        <v>0.0</v>
      </c>
      <c r="H1496" s="12">
        <v>0.0</v>
      </c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</row>
    <row r="1497">
      <c r="A1497" s="11" t="s">
        <v>12</v>
      </c>
      <c r="B1497" s="11" t="s">
        <v>13</v>
      </c>
      <c r="C1497" s="9" t="s">
        <v>1194</v>
      </c>
      <c r="D1497" s="9" t="s">
        <v>16</v>
      </c>
      <c r="E1497" s="10" t="s">
        <v>14</v>
      </c>
      <c r="F1497" s="6">
        <v>0.0</v>
      </c>
      <c r="G1497" s="7">
        <v>0.0</v>
      </c>
      <c r="H1497" s="12">
        <v>0.0</v>
      </c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</row>
    <row r="1498">
      <c r="A1498" s="11" t="s">
        <v>7</v>
      </c>
      <c r="B1498" s="11" t="s">
        <v>13</v>
      </c>
      <c r="C1498" s="9" t="s">
        <v>1195</v>
      </c>
      <c r="D1498" s="9" t="s">
        <v>88</v>
      </c>
      <c r="E1498" s="9" t="s">
        <v>144</v>
      </c>
      <c r="F1498" s="6">
        <v>1000000.0</v>
      </c>
      <c r="G1498" s="7">
        <v>0.0</v>
      </c>
      <c r="H1498" s="12" t="str">
        <f t="array" ref="H1498">XLOOKUP(C:C,Sheet3!A:A,Sheet3!B:B)</f>
        <v>#N/A</v>
      </c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</row>
    <row r="1499">
      <c r="A1499" s="11" t="s">
        <v>12</v>
      </c>
      <c r="B1499" s="11" t="s">
        <v>13</v>
      </c>
      <c r="C1499" s="9" t="s">
        <v>1195</v>
      </c>
      <c r="D1499" s="9" t="s">
        <v>88</v>
      </c>
      <c r="E1499" s="9" t="s">
        <v>49</v>
      </c>
      <c r="F1499" s="6">
        <v>1000000.0</v>
      </c>
      <c r="G1499" s="7">
        <v>0.0</v>
      </c>
      <c r="H1499" s="12" t="str">
        <f t="array" ref="H1499">XLOOKUP(C:C,Sheet3!A:A,Sheet3!B:B)</f>
        <v>#N/A</v>
      </c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</row>
    <row r="1500">
      <c r="A1500" s="11" t="s">
        <v>12</v>
      </c>
      <c r="B1500" s="11" t="s">
        <v>13</v>
      </c>
      <c r="C1500" s="9" t="s">
        <v>1196</v>
      </c>
      <c r="D1500" s="9" t="s">
        <v>16</v>
      </c>
      <c r="E1500" s="10" t="s">
        <v>14</v>
      </c>
      <c r="F1500" s="6">
        <v>0.0</v>
      </c>
      <c r="G1500" s="7">
        <v>0.0</v>
      </c>
      <c r="H1500" s="12">
        <v>0.0</v>
      </c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</row>
    <row r="1501">
      <c r="A1501" s="11" t="s">
        <v>7</v>
      </c>
      <c r="B1501" s="11" t="s">
        <v>13</v>
      </c>
      <c r="C1501" s="9" t="s">
        <v>1197</v>
      </c>
      <c r="D1501" s="9" t="s">
        <v>32</v>
      </c>
      <c r="E1501" s="9" t="s">
        <v>55</v>
      </c>
      <c r="F1501" s="6">
        <v>0.0</v>
      </c>
      <c r="G1501" s="7">
        <v>0.0</v>
      </c>
      <c r="H1501" s="12" t="str">
        <f t="array" ref="H1501">XLOOKUP(C:C,Sheet3!A:A,Sheet3!B:B)</f>
        <v>#N/A</v>
      </c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</row>
    <row r="1502">
      <c r="A1502" s="11" t="s">
        <v>12</v>
      </c>
      <c r="B1502" s="11" t="s">
        <v>13</v>
      </c>
      <c r="C1502" s="9" t="s">
        <v>1197</v>
      </c>
      <c r="D1502" s="9" t="s">
        <v>32</v>
      </c>
      <c r="E1502" s="9" t="s">
        <v>55</v>
      </c>
      <c r="F1502" s="6">
        <v>155000.0</v>
      </c>
      <c r="G1502" s="7">
        <v>133562.0</v>
      </c>
      <c r="H1502" s="12" t="str">
        <f t="array" ref="H1502">XLOOKUP(C:C,Sheet3!A:A,Sheet3!B:B)</f>
        <v>#N/A</v>
      </c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</row>
    <row r="1503">
      <c r="A1503" s="11" t="s">
        <v>7</v>
      </c>
      <c r="B1503" s="11" t="s">
        <v>8</v>
      </c>
      <c r="C1503" s="9" t="s">
        <v>1198</v>
      </c>
      <c r="D1503" s="9" t="s">
        <v>10</v>
      </c>
      <c r="E1503" s="10" t="s">
        <v>14</v>
      </c>
      <c r="F1503" s="6">
        <v>227150.0</v>
      </c>
      <c r="G1503" s="7">
        <v>0.0</v>
      </c>
      <c r="H1503" s="12" t="str">
        <f t="array" ref="H1503">XLOOKUP(C:C,Sheet3!A:A,Sheet3!B:B)</f>
        <v>#N/A</v>
      </c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</row>
    <row r="1504">
      <c r="A1504" s="11" t="s">
        <v>7</v>
      </c>
      <c r="B1504" s="11" t="s">
        <v>13</v>
      </c>
      <c r="C1504" s="9" t="s">
        <v>1198</v>
      </c>
      <c r="D1504" s="9" t="s">
        <v>10</v>
      </c>
      <c r="E1504" s="10" t="s">
        <v>14</v>
      </c>
      <c r="F1504" s="6">
        <v>0.0</v>
      </c>
      <c r="G1504" s="7">
        <v>0.0</v>
      </c>
      <c r="H1504" s="12" t="str">
        <f t="array" ref="H1504">XLOOKUP(C:C,Sheet3!A:A,Sheet3!B:B)</f>
        <v>#N/A</v>
      </c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</row>
    <row r="1505">
      <c r="A1505" s="11" t="s">
        <v>12</v>
      </c>
      <c r="B1505" s="11" t="s">
        <v>13</v>
      </c>
      <c r="C1505" s="9" t="s">
        <v>1198</v>
      </c>
      <c r="D1505" s="9" t="s">
        <v>10</v>
      </c>
      <c r="E1505" s="10" t="s">
        <v>14</v>
      </c>
      <c r="F1505" s="6">
        <v>2360000.0</v>
      </c>
      <c r="G1505" s="7">
        <v>10308.0</v>
      </c>
      <c r="H1505" s="12" t="str">
        <f t="array" ref="H1505">XLOOKUP(C:C,Sheet3!A:A,Sheet3!B:B)</f>
        <v>#N/A</v>
      </c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</row>
    <row r="1506">
      <c r="A1506" s="11" t="s">
        <v>12</v>
      </c>
      <c r="B1506" s="11" t="s">
        <v>8</v>
      </c>
      <c r="C1506" s="9" t="s">
        <v>1198</v>
      </c>
      <c r="D1506" s="9" t="s">
        <v>10</v>
      </c>
      <c r="E1506" s="10" t="s">
        <v>14</v>
      </c>
      <c r="F1506" s="6">
        <v>635000.0</v>
      </c>
      <c r="G1506" s="7">
        <v>311.0</v>
      </c>
      <c r="H1506" s="12" t="str">
        <f t="array" ref="H1506">XLOOKUP(C:C,Sheet3!A:A,Sheet3!B:B)</f>
        <v>#N/A</v>
      </c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</row>
    <row r="1507">
      <c r="A1507" s="11" t="s">
        <v>12</v>
      </c>
      <c r="B1507" s="11" t="s">
        <v>13</v>
      </c>
      <c r="C1507" s="9" t="s">
        <v>1199</v>
      </c>
      <c r="D1507" s="9" t="s">
        <v>10</v>
      </c>
      <c r="E1507" s="10" t="s">
        <v>14</v>
      </c>
      <c r="F1507" s="6">
        <v>1658000.0</v>
      </c>
      <c r="G1507" s="7">
        <v>6460.0</v>
      </c>
      <c r="H1507" s="12" t="str">
        <f t="array" ref="H1507">XLOOKUP(C:C,Sheet3!A:A,Sheet3!B:B)</f>
        <v>#N/A</v>
      </c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</row>
    <row r="1508">
      <c r="A1508" s="11" t="s">
        <v>12</v>
      </c>
      <c r="B1508" s="11" t="s">
        <v>13</v>
      </c>
      <c r="C1508" s="9" t="s">
        <v>1200</v>
      </c>
      <c r="D1508" s="9" t="s">
        <v>16</v>
      </c>
      <c r="E1508" s="9" t="s">
        <v>49</v>
      </c>
      <c r="F1508" s="6">
        <v>1000000.0</v>
      </c>
      <c r="G1508" s="7">
        <v>0.0</v>
      </c>
      <c r="H1508" s="12" t="str">
        <f t="array" ref="H1508">XLOOKUP(C:C,Sheet3!A:A,Sheet3!B:B)</f>
        <v>#N/A</v>
      </c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</row>
    <row r="1509">
      <c r="A1509" s="11" t="s">
        <v>12</v>
      </c>
      <c r="B1509" s="11" t="s">
        <v>13</v>
      </c>
      <c r="C1509" s="9" t="s">
        <v>1201</v>
      </c>
      <c r="D1509" s="9" t="s">
        <v>16</v>
      </c>
      <c r="E1509" s="10" t="s">
        <v>14</v>
      </c>
      <c r="F1509" s="6">
        <v>2000000.0</v>
      </c>
      <c r="G1509" s="7">
        <v>0.0</v>
      </c>
      <c r="H1509" s="12" t="str">
        <f t="array" ref="H1509">XLOOKUP(C:C,Sheet3!A:A,Sheet3!B:B)</f>
        <v>#N/A</v>
      </c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</row>
    <row r="1510">
      <c r="A1510" s="11" t="s">
        <v>12</v>
      </c>
      <c r="B1510" s="11" t="s">
        <v>13</v>
      </c>
      <c r="C1510" s="9" t="s">
        <v>1202</v>
      </c>
      <c r="D1510" s="9" t="s">
        <v>16</v>
      </c>
      <c r="E1510" s="10" t="s">
        <v>14</v>
      </c>
      <c r="F1510" s="6">
        <v>0.0</v>
      </c>
      <c r="G1510" s="7">
        <v>0.0</v>
      </c>
      <c r="H1510" s="12">
        <v>0.0</v>
      </c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</row>
    <row r="1511">
      <c r="A1511" s="11" t="s">
        <v>7</v>
      </c>
      <c r="B1511" s="11" t="s">
        <v>13</v>
      </c>
      <c r="C1511" s="9" t="s">
        <v>1203</v>
      </c>
      <c r="D1511" s="9" t="s">
        <v>16</v>
      </c>
      <c r="E1511" s="10" t="s">
        <v>14</v>
      </c>
      <c r="F1511" s="6">
        <v>0.0</v>
      </c>
      <c r="G1511" s="7">
        <v>0.0</v>
      </c>
      <c r="H1511" s="12">
        <v>0.0</v>
      </c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</row>
    <row r="1512">
      <c r="A1512" s="11" t="s">
        <v>12</v>
      </c>
      <c r="B1512" s="11" t="s">
        <v>13</v>
      </c>
      <c r="C1512" s="9" t="s">
        <v>1203</v>
      </c>
      <c r="D1512" s="9" t="s">
        <v>16</v>
      </c>
      <c r="E1512" s="9" t="s">
        <v>17</v>
      </c>
      <c r="F1512" s="6">
        <v>26000.0</v>
      </c>
      <c r="G1512" s="7">
        <v>0.0</v>
      </c>
      <c r="H1512" s="12">
        <v>0.0</v>
      </c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</row>
    <row r="1513">
      <c r="A1513" s="11" t="s">
        <v>12</v>
      </c>
      <c r="B1513" s="11" t="s">
        <v>13</v>
      </c>
      <c r="C1513" s="9" t="s">
        <v>1204</v>
      </c>
      <c r="D1513" s="9" t="s">
        <v>16</v>
      </c>
      <c r="E1513" s="10" t="s">
        <v>14</v>
      </c>
      <c r="F1513" s="6">
        <v>0.0</v>
      </c>
      <c r="G1513" s="7">
        <v>0.0</v>
      </c>
      <c r="H1513" s="12">
        <v>0.0</v>
      </c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</row>
    <row r="1514">
      <c r="A1514" s="11" t="s">
        <v>12</v>
      </c>
      <c r="B1514" s="11" t="s">
        <v>13</v>
      </c>
      <c r="C1514" s="9" t="s">
        <v>1205</v>
      </c>
      <c r="D1514" s="9" t="s">
        <v>16</v>
      </c>
      <c r="E1514" s="10" t="s">
        <v>14</v>
      </c>
      <c r="F1514" s="6">
        <v>220000.0</v>
      </c>
      <c r="G1514" s="7">
        <v>0.0</v>
      </c>
      <c r="H1514" s="12" t="str">
        <f t="array" ref="H1514">XLOOKUP(C:C,Sheet3!A:A,Sheet3!B:B)</f>
        <v>#N/A</v>
      </c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</row>
    <row r="1515">
      <c r="A1515" s="11" t="s">
        <v>12</v>
      </c>
      <c r="B1515" s="11" t="s">
        <v>8</v>
      </c>
      <c r="C1515" s="9" t="s">
        <v>1205</v>
      </c>
      <c r="D1515" s="9" t="s">
        <v>16</v>
      </c>
      <c r="E1515" s="9" t="s">
        <v>49</v>
      </c>
      <c r="F1515" s="6">
        <v>750000.0</v>
      </c>
      <c r="G1515" s="7">
        <v>0.0</v>
      </c>
      <c r="H1515" s="12" t="str">
        <f t="array" ref="H1515">XLOOKUP(C:C,Sheet3!A:A,Sheet3!B:B)</f>
        <v>#N/A</v>
      </c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</row>
    <row r="1516">
      <c r="A1516" s="11" t="s">
        <v>7</v>
      </c>
      <c r="B1516" s="11" t="s">
        <v>13</v>
      </c>
      <c r="C1516" s="9" t="s">
        <v>1206</v>
      </c>
      <c r="D1516" s="9" t="s">
        <v>16</v>
      </c>
      <c r="E1516" s="9" t="s">
        <v>144</v>
      </c>
      <c r="F1516" s="6">
        <v>350000.0</v>
      </c>
      <c r="G1516" s="7">
        <v>0.0</v>
      </c>
      <c r="H1516" s="12" t="str">
        <f t="array" ref="H1516">XLOOKUP(C:C,Sheet3!A:A,Sheet3!B:B)</f>
        <v>#N/A</v>
      </c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</row>
    <row r="1517">
      <c r="A1517" s="11" t="s">
        <v>12</v>
      </c>
      <c r="B1517" s="11" t="s">
        <v>13</v>
      </c>
      <c r="C1517" s="9" t="s">
        <v>1206</v>
      </c>
      <c r="D1517" s="9" t="s">
        <v>16</v>
      </c>
      <c r="E1517" s="9" t="s">
        <v>49</v>
      </c>
      <c r="F1517" s="6">
        <v>350000.0</v>
      </c>
      <c r="G1517" s="7">
        <v>205521.0</v>
      </c>
      <c r="H1517" s="12" t="str">
        <f t="array" ref="H1517">XLOOKUP(C:C,Sheet3!A:A,Sheet3!B:B)</f>
        <v>#N/A</v>
      </c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</row>
    <row r="1518">
      <c r="A1518" s="11" t="s">
        <v>12</v>
      </c>
      <c r="B1518" s="11" t="s">
        <v>13</v>
      </c>
      <c r="C1518" s="9" t="s">
        <v>1207</v>
      </c>
      <c r="D1518" s="9" t="s">
        <v>16</v>
      </c>
      <c r="E1518" s="10" t="s">
        <v>14</v>
      </c>
      <c r="F1518" s="6">
        <v>100000.0</v>
      </c>
      <c r="G1518" s="7">
        <v>4331.0</v>
      </c>
      <c r="H1518" s="12" t="str">
        <f t="array" ref="H1518">XLOOKUP(C:C,Sheet3!A:A,Sheet3!B:B)</f>
        <v>#N/A</v>
      </c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</row>
    <row r="1519">
      <c r="A1519" s="11" t="s">
        <v>12</v>
      </c>
      <c r="B1519" s="11" t="s">
        <v>13</v>
      </c>
      <c r="C1519" s="9" t="s">
        <v>1208</v>
      </c>
      <c r="D1519" s="9" t="s">
        <v>16</v>
      </c>
      <c r="E1519" s="10" t="s">
        <v>14</v>
      </c>
      <c r="F1519" s="6">
        <v>0.0</v>
      </c>
      <c r="G1519" s="7">
        <v>0.0</v>
      </c>
      <c r="H1519" s="12">
        <v>0.0</v>
      </c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</row>
    <row r="1520">
      <c r="A1520" s="11" t="s">
        <v>7</v>
      </c>
      <c r="B1520" s="11" t="s">
        <v>13</v>
      </c>
      <c r="C1520" s="9" t="s">
        <v>1209</v>
      </c>
      <c r="D1520" s="9" t="s">
        <v>48</v>
      </c>
      <c r="E1520" s="9" t="s">
        <v>49</v>
      </c>
      <c r="F1520" s="6">
        <v>200000.0</v>
      </c>
      <c r="G1520" s="7">
        <v>0.0</v>
      </c>
      <c r="H1520" s="12" t="str">
        <f t="array" ref="H1520">XLOOKUP(C:C,Sheet3!A:A,Sheet3!B:B)</f>
        <v>#N/A</v>
      </c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</row>
    <row r="1521">
      <c r="A1521" s="11" t="s">
        <v>12</v>
      </c>
      <c r="B1521" s="11" t="s">
        <v>8</v>
      </c>
      <c r="C1521" s="9" t="s">
        <v>1209</v>
      </c>
      <c r="D1521" s="9" t="s">
        <v>48</v>
      </c>
      <c r="E1521" s="9" t="s">
        <v>49</v>
      </c>
      <c r="F1521" s="6">
        <v>0.0</v>
      </c>
      <c r="G1521" s="7">
        <v>0.0</v>
      </c>
      <c r="H1521" s="12" t="str">
        <f t="array" ref="H1521">XLOOKUP(C:C,Sheet3!A:A,Sheet3!B:B)</f>
        <v>#N/A</v>
      </c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</row>
    <row r="1522">
      <c r="A1522" s="11" t="s">
        <v>12</v>
      </c>
      <c r="B1522" s="11" t="s">
        <v>13</v>
      </c>
      <c r="C1522" s="9" t="s">
        <v>1209</v>
      </c>
      <c r="D1522" s="9" t="s">
        <v>48</v>
      </c>
      <c r="E1522" s="9" t="s">
        <v>49</v>
      </c>
      <c r="F1522" s="6">
        <v>0.0</v>
      </c>
      <c r="G1522" s="7">
        <v>459309.0</v>
      </c>
      <c r="H1522" s="12" t="str">
        <f t="array" ref="H1522">XLOOKUP(C:C,Sheet3!A:A,Sheet3!B:B)</f>
        <v>#N/A</v>
      </c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</row>
    <row r="1523">
      <c r="A1523" s="11" t="s">
        <v>12</v>
      </c>
      <c r="B1523" s="11" t="s">
        <v>13</v>
      </c>
      <c r="C1523" s="9" t="s">
        <v>1210</v>
      </c>
      <c r="D1523" s="9" t="s">
        <v>48</v>
      </c>
      <c r="E1523" s="10" t="s">
        <v>14</v>
      </c>
      <c r="F1523" s="6">
        <v>0.0</v>
      </c>
      <c r="G1523" s="7">
        <v>2300000.0</v>
      </c>
      <c r="H1523" s="12" t="str">
        <f t="array" ref="H1523">XLOOKUP(C:C,Sheet3!A:A,Sheet3!B:B)</f>
        <v>#N/A</v>
      </c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</row>
    <row r="1524">
      <c r="A1524" s="11" t="s">
        <v>12</v>
      </c>
      <c r="B1524" s="11" t="s">
        <v>13</v>
      </c>
      <c r="C1524" s="9" t="s">
        <v>1211</v>
      </c>
      <c r="D1524" s="9" t="s">
        <v>16</v>
      </c>
      <c r="E1524" s="10" t="s">
        <v>14</v>
      </c>
      <c r="F1524" s="6">
        <v>0.0</v>
      </c>
      <c r="G1524" s="7">
        <v>0.0</v>
      </c>
      <c r="H1524" s="12">
        <v>0.0</v>
      </c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</row>
    <row r="1525">
      <c r="A1525" s="11" t="s">
        <v>12</v>
      </c>
      <c r="B1525" s="11" t="s">
        <v>13</v>
      </c>
      <c r="C1525" s="9" t="s">
        <v>1212</v>
      </c>
      <c r="D1525" s="9" t="s">
        <v>16</v>
      </c>
      <c r="E1525" s="10" t="s">
        <v>14</v>
      </c>
      <c r="F1525" s="6">
        <v>0.0</v>
      </c>
      <c r="G1525" s="7">
        <v>0.0</v>
      </c>
      <c r="H1525" s="12" t="str">
        <f t="array" ref="H1525">XLOOKUP(C:C,Sheet3!A:A,Sheet3!B:B)</f>
        <v>#N/A</v>
      </c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</row>
    <row r="1526">
      <c r="A1526" s="11" t="s">
        <v>12</v>
      </c>
      <c r="B1526" s="11" t="s">
        <v>13</v>
      </c>
      <c r="C1526" s="9" t="s">
        <v>1213</v>
      </c>
      <c r="D1526" s="9" t="s">
        <v>16</v>
      </c>
      <c r="E1526" s="10" t="s">
        <v>14</v>
      </c>
      <c r="F1526" s="6">
        <v>0.0</v>
      </c>
      <c r="G1526" s="7">
        <v>0.0</v>
      </c>
      <c r="H1526" s="12">
        <v>0.0</v>
      </c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</row>
    <row r="1527">
      <c r="A1527" s="11" t="s">
        <v>12</v>
      </c>
      <c r="B1527" s="11" t="s">
        <v>13</v>
      </c>
      <c r="C1527" s="9" t="s">
        <v>1214</v>
      </c>
      <c r="D1527" s="9" t="s">
        <v>16</v>
      </c>
      <c r="E1527" s="10" t="s">
        <v>14</v>
      </c>
      <c r="F1527" s="6">
        <v>0.0</v>
      </c>
      <c r="G1527" s="7">
        <v>0.0</v>
      </c>
      <c r="H1527" s="12">
        <v>0.0</v>
      </c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</row>
    <row r="1528">
      <c r="A1528" s="11" t="s">
        <v>12</v>
      </c>
      <c r="B1528" s="11" t="s">
        <v>8</v>
      </c>
      <c r="C1528" s="9" t="s">
        <v>1215</v>
      </c>
      <c r="D1528" s="9" t="s">
        <v>16</v>
      </c>
      <c r="E1528" s="10" t="s">
        <v>14</v>
      </c>
      <c r="F1528" s="6">
        <v>1.0</v>
      </c>
      <c r="G1528" s="7">
        <v>0.0</v>
      </c>
      <c r="H1528" s="12">
        <v>0.0</v>
      </c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</row>
    <row r="1529">
      <c r="A1529" s="11" t="s">
        <v>7</v>
      </c>
      <c r="B1529" s="11" t="s">
        <v>13</v>
      </c>
      <c r="C1529" s="9" t="s">
        <v>1216</v>
      </c>
      <c r="D1529" s="9" t="s">
        <v>32</v>
      </c>
      <c r="E1529" s="9" t="s">
        <v>211</v>
      </c>
      <c r="F1529" s="6">
        <v>5750000.0</v>
      </c>
      <c r="G1529" s="7">
        <v>0.0</v>
      </c>
      <c r="H1529" s="12" t="str">
        <f t="array" ref="H1529">XLOOKUP(C:C,Sheet3!A:A,Sheet3!B:B)</f>
        <v>#N/A</v>
      </c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</row>
    <row r="1530">
      <c r="A1530" s="11" t="s">
        <v>12</v>
      </c>
      <c r="B1530" s="11" t="s">
        <v>13</v>
      </c>
      <c r="C1530" s="9" t="s">
        <v>1216</v>
      </c>
      <c r="D1530" s="9" t="s">
        <v>32</v>
      </c>
      <c r="E1530" s="9" t="s">
        <v>212</v>
      </c>
      <c r="F1530" s="6">
        <v>5750000.0</v>
      </c>
      <c r="G1530" s="7">
        <v>2400802.0</v>
      </c>
      <c r="H1530" s="12" t="str">
        <f t="array" ref="H1530">XLOOKUP(C:C,Sheet3!A:A,Sheet3!B:B)</f>
        <v>#N/A</v>
      </c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</row>
    <row r="1531">
      <c r="A1531" s="11" t="s">
        <v>12</v>
      </c>
      <c r="B1531" s="11" t="s">
        <v>13</v>
      </c>
      <c r="C1531" s="9" t="s">
        <v>1217</v>
      </c>
      <c r="D1531" s="9" t="s">
        <v>16</v>
      </c>
      <c r="E1531" s="10" t="s">
        <v>14</v>
      </c>
      <c r="F1531" s="6">
        <v>0.0</v>
      </c>
      <c r="G1531" s="7">
        <v>1859354.0</v>
      </c>
      <c r="H1531" s="12" t="str">
        <f t="array" ref="H1531">XLOOKUP(C:C,Sheet3!A:A,Sheet3!B:B)</f>
        <v>#N/A</v>
      </c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</row>
    <row r="1532">
      <c r="A1532" s="11" t="s">
        <v>7</v>
      </c>
      <c r="B1532" s="11" t="s">
        <v>8</v>
      </c>
      <c r="C1532" s="9" t="s">
        <v>1218</v>
      </c>
      <c r="D1532" s="9" t="s">
        <v>48</v>
      </c>
      <c r="E1532" s="9" t="s">
        <v>49</v>
      </c>
      <c r="F1532" s="6">
        <v>179600.0</v>
      </c>
      <c r="G1532" s="7">
        <v>0.0</v>
      </c>
      <c r="H1532" s="12" t="str">
        <f t="array" ref="H1532">XLOOKUP(C:C,Sheet3!A:A,Sheet3!B:B)</f>
        <v>#N/A</v>
      </c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</row>
    <row r="1533">
      <c r="A1533" s="11" t="s">
        <v>12</v>
      </c>
      <c r="B1533" s="11" t="s">
        <v>13</v>
      </c>
      <c r="C1533" s="9" t="s">
        <v>1218</v>
      </c>
      <c r="D1533" s="9" t="s">
        <v>48</v>
      </c>
      <c r="E1533" s="10" t="s">
        <v>14</v>
      </c>
      <c r="F1533" s="6">
        <v>359000.0</v>
      </c>
      <c r="G1533" s="7">
        <v>0.0</v>
      </c>
      <c r="H1533" s="12" t="str">
        <f t="array" ref="H1533">XLOOKUP(C:C,Sheet3!A:A,Sheet3!B:B)</f>
        <v>#N/A</v>
      </c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</row>
    <row r="1534">
      <c r="A1534" s="11" t="s">
        <v>12</v>
      </c>
      <c r="B1534" s="11" t="s">
        <v>8</v>
      </c>
      <c r="C1534" s="9" t="s">
        <v>1218</v>
      </c>
      <c r="D1534" s="9" t="s">
        <v>48</v>
      </c>
      <c r="E1534" s="9" t="s">
        <v>49</v>
      </c>
      <c r="F1534" s="6">
        <v>179600.0</v>
      </c>
      <c r="G1534" s="7">
        <v>0.0</v>
      </c>
      <c r="H1534" s="12" t="str">
        <f t="array" ref="H1534">XLOOKUP(C:C,Sheet3!A:A,Sheet3!B:B)</f>
        <v>#N/A</v>
      </c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</row>
    <row r="1535">
      <c r="A1535" s="11" t="s">
        <v>7</v>
      </c>
      <c r="B1535" s="11" t="s">
        <v>13</v>
      </c>
      <c r="C1535" s="9" t="s">
        <v>1219</v>
      </c>
      <c r="D1535" s="9" t="s">
        <v>88</v>
      </c>
      <c r="E1535" s="9" t="s">
        <v>23</v>
      </c>
      <c r="F1535" s="6">
        <v>1000000.0</v>
      </c>
      <c r="G1535" s="7">
        <v>0.0</v>
      </c>
      <c r="H1535" s="12" t="str">
        <f t="array" ref="H1535">XLOOKUP(C:C,Sheet3!A:A,Sheet3!B:B)</f>
        <v>#N/A</v>
      </c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</row>
    <row r="1536">
      <c r="A1536" s="11" t="s">
        <v>12</v>
      </c>
      <c r="B1536" s="11" t="s">
        <v>13</v>
      </c>
      <c r="C1536" s="9" t="s">
        <v>1219</v>
      </c>
      <c r="D1536" s="9" t="s">
        <v>88</v>
      </c>
      <c r="E1536" s="9" t="s">
        <v>17</v>
      </c>
      <c r="F1536" s="6">
        <v>1000000.0</v>
      </c>
      <c r="G1536" s="7">
        <v>571711.0</v>
      </c>
      <c r="H1536" s="12" t="str">
        <f t="array" ref="H1536">XLOOKUP(C:C,Sheet3!A:A,Sheet3!B:B)</f>
        <v>#N/A</v>
      </c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</row>
    <row r="1537">
      <c r="A1537" s="11" t="s">
        <v>12</v>
      </c>
      <c r="B1537" s="11" t="s">
        <v>13</v>
      </c>
      <c r="C1537" s="9" t="s">
        <v>1220</v>
      </c>
      <c r="D1537" s="9" t="s">
        <v>16</v>
      </c>
      <c r="E1537" s="10" t="s">
        <v>14</v>
      </c>
      <c r="F1537" s="6">
        <v>0.0</v>
      </c>
      <c r="G1537" s="7">
        <v>1045455.0</v>
      </c>
      <c r="H1537" s="12" t="str">
        <f t="array" ref="H1537">XLOOKUP(C:C,Sheet3!A:A,Sheet3!B:B)</f>
        <v>#N/A</v>
      </c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</row>
    <row r="1538">
      <c r="A1538" s="11" t="s">
        <v>7</v>
      </c>
      <c r="B1538" s="11" t="s">
        <v>13</v>
      </c>
      <c r="C1538" s="9" t="s">
        <v>1221</v>
      </c>
      <c r="D1538" s="9" t="s">
        <v>19</v>
      </c>
      <c r="E1538" s="9" t="s">
        <v>49</v>
      </c>
      <c r="F1538" s="6">
        <v>700000.0</v>
      </c>
      <c r="G1538" s="7">
        <v>0.0</v>
      </c>
      <c r="H1538" s="12" t="str">
        <f t="array" ref="H1538">XLOOKUP(C:C,Sheet3!A:A,Sheet3!B:B)</f>
        <v>#N/A</v>
      </c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</row>
    <row r="1539">
      <c r="A1539" s="11" t="s">
        <v>12</v>
      </c>
      <c r="B1539" s="11" t="s">
        <v>13</v>
      </c>
      <c r="C1539" s="9" t="s">
        <v>1221</v>
      </c>
      <c r="D1539" s="9" t="s">
        <v>19</v>
      </c>
      <c r="E1539" s="9" t="s">
        <v>49</v>
      </c>
      <c r="F1539" s="6">
        <v>1555000.0</v>
      </c>
      <c r="G1539" s="7">
        <v>0.0</v>
      </c>
      <c r="H1539" s="12" t="str">
        <f t="array" ref="H1539">XLOOKUP(C:C,Sheet3!A:A,Sheet3!B:B)</f>
        <v>#N/A</v>
      </c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</row>
    <row r="1540">
      <c r="A1540" s="11" t="s">
        <v>7</v>
      </c>
      <c r="B1540" s="11" t="s">
        <v>8</v>
      </c>
      <c r="C1540" s="9" t="s">
        <v>1222</v>
      </c>
      <c r="D1540" s="9" t="s">
        <v>32</v>
      </c>
      <c r="E1540" s="9" t="s">
        <v>84</v>
      </c>
      <c r="F1540" s="6">
        <v>0.0</v>
      </c>
      <c r="G1540" s="7">
        <v>0.0</v>
      </c>
      <c r="H1540" s="12" t="str">
        <f t="array" ref="H1540">XLOOKUP(C:C,Sheet3!A:A,Sheet3!B:B)</f>
        <v>#N/A</v>
      </c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</row>
    <row r="1541">
      <c r="A1541" s="11" t="s">
        <v>7</v>
      </c>
      <c r="B1541" s="11" t="s">
        <v>13</v>
      </c>
      <c r="C1541" s="9" t="s">
        <v>1222</v>
      </c>
      <c r="D1541" s="9" t="s">
        <v>32</v>
      </c>
      <c r="E1541" s="9" t="s">
        <v>104</v>
      </c>
      <c r="F1541" s="6">
        <v>6000000.0</v>
      </c>
      <c r="G1541" s="7">
        <v>0.0</v>
      </c>
      <c r="H1541" s="12" t="str">
        <f t="array" ref="H1541">XLOOKUP(C:C,Sheet3!A:A,Sheet3!B:B)</f>
        <v>#N/A</v>
      </c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</row>
    <row r="1542">
      <c r="A1542" s="11" t="s">
        <v>12</v>
      </c>
      <c r="B1542" s="11" t="s">
        <v>8</v>
      </c>
      <c r="C1542" s="9" t="s">
        <v>1222</v>
      </c>
      <c r="D1542" s="9" t="s">
        <v>32</v>
      </c>
      <c r="E1542" s="9" t="s">
        <v>84</v>
      </c>
      <c r="F1542" s="6">
        <v>3000000.0</v>
      </c>
      <c r="G1542" s="7">
        <v>0.0</v>
      </c>
      <c r="H1542" s="12" t="str">
        <f t="array" ref="H1542">XLOOKUP(C:C,Sheet3!A:A,Sheet3!B:B)</f>
        <v>#N/A</v>
      </c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</row>
    <row r="1543">
      <c r="A1543" s="11" t="s">
        <v>12</v>
      </c>
      <c r="B1543" s="11" t="s">
        <v>13</v>
      </c>
      <c r="C1543" s="9" t="s">
        <v>1222</v>
      </c>
      <c r="D1543" s="9" t="s">
        <v>32</v>
      </c>
      <c r="E1543" s="9" t="s">
        <v>84</v>
      </c>
      <c r="F1543" s="6">
        <v>6000000.0</v>
      </c>
      <c r="G1543" s="7">
        <v>3845444.0</v>
      </c>
      <c r="H1543" s="12" t="str">
        <f t="array" ref="H1543">XLOOKUP(C:C,Sheet3!A:A,Sheet3!B:B)</f>
        <v>#N/A</v>
      </c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</row>
    <row r="1544">
      <c r="A1544" s="11" t="s">
        <v>12</v>
      </c>
      <c r="B1544" s="11" t="s">
        <v>13</v>
      </c>
      <c r="C1544" s="9" t="s">
        <v>1223</v>
      </c>
      <c r="D1544" s="9" t="s">
        <v>32</v>
      </c>
      <c r="E1544" s="10" t="s">
        <v>14</v>
      </c>
      <c r="F1544" s="6">
        <v>0.0</v>
      </c>
      <c r="G1544" s="7">
        <v>6745439.0</v>
      </c>
      <c r="H1544" s="12" t="str">
        <f t="array" ref="H1544">XLOOKUP(C:C,Sheet3!A:A,Sheet3!B:B)</f>
        <v>#N/A</v>
      </c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</row>
    <row r="1545">
      <c r="A1545" s="11" t="s">
        <v>12</v>
      </c>
      <c r="B1545" s="11" t="s">
        <v>13</v>
      </c>
      <c r="C1545" s="9" t="s">
        <v>1224</v>
      </c>
      <c r="D1545" s="9" t="s">
        <v>16</v>
      </c>
      <c r="E1545" s="10" t="s">
        <v>14</v>
      </c>
      <c r="F1545" s="6">
        <v>2000.0</v>
      </c>
      <c r="G1545" s="7">
        <v>0.0</v>
      </c>
      <c r="H1545" s="12">
        <v>0.0</v>
      </c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</row>
    <row r="1546">
      <c r="A1546" s="11" t="s">
        <v>12</v>
      </c>
      <c r="B1546" s="11" t="s">
        <v>13</v>
      </c>
      <c r="C1546" s="9" t="s">
        <v>1225</v>
      </c>
      <c r="D1546" s="9" t="s">
        <v>16</v>
      </c>
      <c r="E1546" s="10" t="s">
        <v>14</v>
      </c>
      <c r="F1546" s="6">
        <v>0.0</v>
      </c>
      <c r="G1546" s="7">
        <v>0.0</v>
      </c>
      <c r="H1546" s="12">
        <v>0.0</v>
      </c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</row>
    <row r="1547">
      <c r="A1547" s="11" t="s">
        <v>12</v>
      </c>
      <c r="B1547" s="11" t="s">
        <v>13</v>
      </c>
      <c r="C1547" s="9" t="s">
        <v>1226</v>
      </c>
      <c r="D1547" s="9" t="s">
        <v>115</v>
      </c>
      <c r="E1547" s="9" t="s">
        <v>49</v>
      </c>
      <c r="F1547" s="6">
        <v>213000.0</v>
      </c>
      <c r="G1547" s="7">
        <v>0.0</v>
      </c>
      <c r="H1547" s="12" t="str">
        <f t="array" ref="H1547">XLOOKUP(C:C,Sheet3!A:A,Sheet3!B:B)</f>
        <v>#N/A</v>
      </c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</row>
    <row r="1548">
      <c r="A1548" s="11" t="s">
        <v>7</v>
      </c>
      <c r="B1548" s="11" t="s">
        <v>13</v>
      </c>
      <c r="C1548" s="9" t="s">
        <v>1227</v>
      </c>
      <c r="D1548" s="9" t="s">
        <v>32</v>
      </c>
      <c r="E1548" s="9" t="s">
        <v>49</v>
      </c>
      <c r="F1548" s="6">
        <v>400000.0</v>
      </c>
      <c r="G1548" s="7">
        <v>0.0</v>
      </c>
      <c r="H1548" s="12" t="str">
        <f t="array" ref="H1548">XLOOKUP(C:C,Sheet3!A:A,Sheet3!B:B)</f>
        <v>#N/A</v>
      </c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</row>
    <row r="1549">
      <c r="A1549" s="11" t="s">
        <v>12</v>
      </c>
      <c r="B1549" s="11" t="s">
        <v>13</v>
      </c>
      <c r="C1549" s="9" t="s">
        <v>1227</v>
      </c>
      <c r="D1549" s="9" t="s">
        <v>32</v>
      </c>
      <c r="E1549" s="9" t="s">
        <v>49</v>
      </c>
      <c r="F1549" s="6">
        <v>910000.0</v>
      </c>
      <c r="G1549" s="7">
        <v>53057.0</v>
      </c>
      <c r="H1549" s="12" t="str">
        <f t="array" ref="H1549">XLOOKUP(C:C,Sheet3!A:A,Sheet3!B:B)</f>
        <v>#N/A</v>
      </c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</row>
    <row r="1550">
      <c r="A1550" s="11" t="s">
        <v>12</v>
      </c>
      <c r="B1550" s="11" t="s">
        <v>13</v>
      </c>
      <c r="C1550" s="9" t="s">
        <v>1228</v>
      </c>
      <c r="D1550" s="9" t="s">
        <v>16</v>
      </c>
      <c r="E1550" s="10" t="s">
        <v>14</v>
      </c>
      <c r="F1550" s="6">
        <v>0.0</v>
      </c>
      <c r="G1550" s="7">
        <v>0.0</v>
      </c>
      <c r="H1550" s="12">
        <v>0.0</v>
      </c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</row>
    <row r="1551">
      <c r="A1551" s="11" t="s">
        <v>12</v>
      </c>
      <c r="B1551" s="11" t="s">
        <v>13</v>
      </c>
      <c r="C1551" s="9" t="s">
        <v>1229</v>
      </c>
      <c r="D1551" s="9" t="s">
        <v>16</v>
      </c>
      <c r="E1551" s="10" t="s">
        <v>14</v>
      </c>
      <c r="F1551" s="6">
        <v>0.0</v>
      </c>
      <c r="G1551" s="7">
        <v>0.0</v>
      </c>
      <c r="H1551" s="12">
        <v>0.0</v>
      </c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</row>
    <row r="1552">
      <c r="A1552" s="11" t="s">
        <v>12</v>
      </c>
      <c r="B1552" s="11" t="s">
        <v>13</v>
      </c>
      <c r="C1552" s="9" t="s">
        <v>1230</v>
      </c>
      <c r="D1552" s="9" t="s">
        <v>16</v>
      </c>
      <c r="E1552" s="10" t="s">
        <v>14</v>
      </c>
      <c r="F1552" s="6">
        <v>0.0</v>
      </c>
      <c r="G1552" s="7">
        <v>0.0</v>
      </c>
      <c r="H1552" s="12">
        <v>0.0</v>
      </c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</row>
    <row r="1553">
      <c r="A1553" s="11" t="s">
        <v>12</v>
      </c>
      <c r="B1553" s="11" t="s">
        <v>13</v>
      </c>
      <c r="C1553" s="9" t="s">
        <v>1231</v>
      </c>
      <c r="D1553" s="9" t="s">
        <v>16</v>
      </c>
      <c r="E1553" s="10" t="s">
        <v>14</v>
      </c>
      <c r="F1553" s="6">
        <v>10000.0</v>
      </c>
      <c r="G1553" s="7">
        <v>0.0</v>
      </c>
      <c r="H1553" s="12">
        <v>0.0</v>
      </c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</row>
    <row r="1554">
      <c r="A1554" s="11" t="s">
        <v>12</v>
      </c>
      <c r="B1554" s="11" t="s">
        <v>13</v>
      </c>
      <c r="C1554" s="9" t="s">
        <v>1232</v>
      </c>
      <c r="D1554" s="9" t="s">
        <v>16</v>
      </c>
      <c r="E1554" s="10" t="s">
        <v>14</v>
      </c>
      <c r="F1554" s="6">
        <v>0.0</v>
      </c>
      <c r="G1554" s="7">
        <v>0.0</v>
      </c>
      <c r="H1554" s="12">
        <v>0.0</v>
      </c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</row>
    <row r="1555">
      <c r="A1555" s="11" t="s">
        <v>7</v>
      </c>
      <c r="B1555" s="11" t="s">
        <v>13</v>
      </c>
      <c r="C1555" s="9" t="s">
        <v>1233</v>
      </c>
      <c r="D1555" s="9" t="s">
        <v>32</v>
      </c>
      <c r="E1555" s="9" t="s">
        <v>144</v>
      </c>
      <c r="F1555" s="6">
        <v>5000000.0</v>
      </c>
      <c r="G1555" s="7">
        <v>0.0</v>
      </c>
      <c r="H1555" s="12" t="str">
        <f t="array" ref="H1555">XLOOKUP(C:C,Sheet3!A:A,Sheet3!B:B)</f>
        <v>#N/A</v>
      </c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</row>
    <row r="1556">
      <c r="A1556" s="11" t="s">
        <v>12</v>
      </c>
      <c r="B1556" s="11" t="s">
        <v>13</v>
      </c>
      <c r="C1556" s="9" t="s">
        <v>1233</v>
      </c>
      <c r="D1556" s="9" t="s">
        <v>32</v>
      </c>
      <c r="E1556" s="9" t="s">
        <v>49</v>
      </c>
      <c r="F1556" s="6">
        <v>5000000.0</v>
      </c>
      <c r="G1556" s="7">
        <v>846486.0</v>
      </c>
      <c r="H1556" s="12" t="str">
        <f t="array" ref="H1556">XLOOKUP(C:C,Sheet3!A:A,Sheet3!B:B)</f>
        <v>#N/A</v>
      </c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</row>
    <row r="1557">
      <c r="A1557" s="11" t="s">
        <v>12</v>
      </c>
      <c r="B1557" s="11" t="s">
        <v>13</v>
      </c>
      <c r="C1557" s="9" t="s">
        <v>1234</v>
      </c>
      <c r="D1557" s="9" t="s">
        <v>32</v>
      </c>
      <c r="E1557" s="10" t="s">
        <v>14</v>
      </c>
      <c r="F1557" s="6">
        <v>0.0</v>
      </c>
      <c r="G1557" s="7">
        <v>0.0</v>
      </c>
      <c r="H1557" s="12" t="str">
        <f t="array" ref="H1557">XLOOKUP(C:C,Sheet3!A:A,Sheet3!B:B)</f>
        <v>#N/A</v>
      </c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</row>
    <row r="1558">
      <c r="A1558" s="11" t="s">
        <v>12</v>
      </c>
      <c r="B1558" s="11" t="s">
        <v>13</v>
      </c>
      <c r="C1558" s="9" t="s">
        <v>1235</v>
      </c>
      <c r="D1558" s="9" t="s">
        <v>16</v>
      </c>
      <c r="E1558" s="10" t="s">
        <v>14</v>
      </c>
      <c r="F1558" s="6">
        <v>0.0</v>
      </c>
      <c r="G1558" s="7">
        <v>0.0</v>
      </c>
      <c r="H1558" s="12">
        <v>0.0</v>
      </c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</row>
    <row r="1559">
      <c r="A1559" s="11" t="s">
        <v>12</v>
      </c>
      <c r="B1559" s="11" t="s">
        <v>13</v>
      </c>
      <c r="C1559" s="9" t="s">
        <v>1236</v>
      </c>
      <c r="D1559" s="9" t="s">
        <v>16</v>
      </c>
      <c r="E1559" s="10" t="s">
        <v>14</v>
      </c>
      <c r="F1559" s="6">
        <v>0.0</v>
      </c>
      <c r="G1559" s="7">
        <v>0.0</v>
      </c>
      <c r="H1559" s="12">
        <v>0.0</v>
      </c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</row>
    <row r="1560">
      <c r="A1560" s="11" t="s">
        <v>12</v>
      </c>
      <c r="B1560" s="11" t="s">
        <v>13</v>
      </c>
      <c r="C1560" s="9" t="s">
        <v>1237</v>
      </c>
      <c r="D1560" s="9" t="s">
        <v>16</v>
      </c>
      <c r="E1560" s="10" t="s">
        <v>14</v>
      </c>
      <c r="F1560" s="6">
        <v>0.0</v>
      </c>
      <c r="G1560" s="7">
        <v>0.0</v>
      </c>
      <c r="H1560" s="12">
        <v>0.0</v>
      </c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</row>
    <row r="1561">
      <c r="A1561" s="11" t="s">
        <v>12</v>
      </c>
      <c r="B1561" s="11" t="s">
        <v>13</v>
      </c>
      <c r="C1561" s="9" t="s">
        <v>1238</v>
      </c>
      <c r="D1561" s="9" t="s">
        <v>16</v>
      </c>
      <c r="E1561" s="9" t="s">
        <v>96</v>
      </c>
      <c r="F1561" s="6">
        <v>557000.0</v>
      </c>
      <c r="G1561" s="7">
        <v>1313574.0</v>
      </c>
      <c r="H1561" s="12" t="str">
        <f t="array" ref="H1561">XLOOKUP(C:C,Sheet3!A:A,Sheet3!B:B)</f>
        <v>#N/A</v>
      </c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</row>
    <row r="1562">
      <c r="A1562" s="11" t="s">
        <v>12</v>
      </c>
      <c r="B1562" s="11" t="s">
        <v>13</v>
      </c>
      <c r="C1562" s="9" t="s">
        <v>1239</v>
      </c>
      <c r="D1562" s="9" t="s">
        <v>16</v>
      </c>
      <c r="E1562" s="10" t="s">
        <v>14</v>
      </c>
      <c r="F1562" s="6">
        <v>0.0</v>
      </c>
      <c r="G1562" s="7">
        <v>0.0</v>
      </c>
      <c r="H1562" s="12">
        <v>0.0</v>
      </c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</row>
    <row r="1563">
      <c r="A1563" s="11" t="s">
        <v>12</v>
      </c>
      <c r="B1563" s="11" t="s">
        <v>13</v>
      </c>
      <c r="C1563" s="9" t="s">
        <v>1240</v>
      </c>
      <c r="D1563" s="9" t="s">
        <v>16</v>
      </c>
      <c r="E1563" s="10" t="s">
        <v>14</v>
      </c>
      <c r="F1563" s="6">
        <v>0.0</v>
      </c>
      <c r="G1563" s="7">
        <v>0.0</v>
      </c>
      <c r="H1563" s="12">
        <v>0.0</v>
      </c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</row>
    <row r="1564">
      <c r="A1564" s="11" t="s">
        <v>12</v>
      </c>
      <c r="B1564" s="11" t="s">
        <v>13</v>
      </c>
      <c r="C1564" s="9" t="s">
        <v>1241</v>
      </c>
      <c r="D1564" s="9" t="s">
        <v>16</v>
      </c>
      <c r="E1564" s="10" t="s">
        <v>14</v>
      </c>
      <c r="F1564" s="6">
        <v>0.0</v>
      </c>
      <c r="G1564" s="7">
        <v>0.0</v>
      </c>
      <c r="H1564" s="12">
        <v>0.0</v>
      </c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</row>
    <row r="1565">
      <c r="A1565" s="11" t="s">
        <v>7</v>
      </c>
      <c r="B1565" s="11" t="s">
        <v>13</v>
      </c>
      <c r="C1565" s="9" t="s">
        <v>1242</v>
      </c>
      <c r="D1565" s="9" t="s">
        <v>32</v>
      </c>
      <c r="E1565" s="9" t="s">
        <v>144</v>
      </c>
      <c r="F1565" s="6">
        <v>1300000.0</v>
      </c>
      <c r="G1565" s="7">
        <v>0.0</v>
      </c>
      <c r="H1565" s="12" t="str">
        <f t="array" ref="H1565">XLOOKUP(C:C,Sheet3!A:A,Sheet3!B:B)</f>
        <v>#N/A</v>
      </c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</row>
    <row r="1566">
      <c r="A1566" s="11" t="s">
        <v>12</v>
      </c>
      <c r="B1566" s="11" t="s">
        <v>13</v>
      </c>
      <c r="C1566" s="9" t="s">
        <v>1242</v>
      </c>
      <c r="D1566" s="9" t="s">
        <v>32</v>
      </c>
      <c r="E1566" s="9" t="s">
        <v>49</v>
      </c>
      <c r="F1566" s="6">
        <v>1300000.0</v>
      </c>
      <c r="G1566" s="7">
        <v>204583.0</v>
      </c>
      <c r="H1566" s="12" t="str">
        <f t="array" ref="H1566">XLOOKUP(C:C,Sheet3!A:A,Sheet3!B:B)</f>
        <v>#N/A</v>
      </c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</row>
    <row r="1567">
      <c r="A1567" s="11" t="s">
        <v>12</v>
      </c>
      <c r="B1567" s="11" t="s">
        <v>13</v>
      </c>
      <c r="C1567" s="9" t="s">
        <v>1243</v>
      </c>
      <c r="D1567" s="9" t="s">
        <v>16</v>
      </c>
      <c r="E1567" s="10" t="s">
        <v>14</v>
      </c>
      <c r="F1567" s="6">
        <v>0.0</v>
      </c>
      <c r="G1567" s="7">
        <v>4611750.0</v>
      </c>
      <c r="H1567" s="12" t="str">
        <f t="array" ref="H1567">XLOOKUP(C:C,Sheet3!A:A,Sheet3!B:B)</f>
        <v>#N/A</v>
      </c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</row>
    <row r="1568">
      <c r="A1568" s="11" t="s">
        <v>12</v>
      </c>
      <c r="B1568" s="11" t="s">
        <v>13</v>
      </c>
      <c r="C1568" s="9" t="s">
        <v>1244</v>
      </c>
      <c r="D1568" s="9" t="s">
        <v>16</v>
      </c>
      <c r="E1568" s="10" t="s">
        <v>14</v>
      </c>
      <c r="F1568" s="6">
        <v>0.0</v>
      </c>
      <c r="G1568" s="7">
        <v>0.0</v>
      </c>
      <c r="H1568" s="12">
        <v>0.0</v>
      </c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</row>
    <row r="1569">
      <c r="A1569" s="11" t="s">
        <v>7</v>
      </c>
      <c r="B1569" s="11" t="s">
        <v>13</v>
      </c>
      <c r="C1569" s="9" t="s">
        <v>1245</v>
      </c>
      <c r="D1569" s="9" t="s">
        <v>32</v>
      </c>
      <c r="E1569" s="9" t="s">
        <v>23</v>
      </c>
      <c r="F1569" s="6">
        <v>4000000.0</v>
      </c>
      <c r="G1569" s="7">
        <v>0.0</v>
      </c>
      <c r="H1569" s="12" t="str">
        <f t="array" ref="H1569">XLOOKUP(C:C,Sheet3!A:A,Sheet3!B:B)</f>
        <v>#N/A</v>
      </c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</row>
    <row r="1570">
      <c r="A1570" s="11" t="s">
        <v>12</v>
      </c>
      <c r="B1570" s="11" t="s">
        <v>13</v>
      </c>
      <c r="C1570" s="9" t="s">
        <v>1245</v>
      </c>
      <c r="D1570" s="9" t="s">
        <v>32</v>
      </c>
      <c r="E1570" s="9" t="s">
        <v>17</v>
      </c>
      <c r="F1570" s="6">
        <v>4000000.0</v>
      </c>
      <c r="G1570" s="7">
        <v>934847.0</v>
      </c>
      <c r="H1570" s="12" t="str">
        <f t="array" ref="H1570">XLOOKUP(C:C,Sheet3!A:A,Sheet3!B:B)</f>
        <v>#N/A</v>
      </c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</row>
    <row r="1571">
      <c r="A1571" s="11" t="s">
        <v>12</v>
      </c>
      <c r="B1571" s="11" t="s">
        <v>13</v>
      </c>
      <c r="C1571" s="9" t="s">
        <v>1246</v>
      </c>
      <c r="D1571" s="9" t="s">
        <v>16</v>
      </c>
      <c r="E1571" s="10" t="s">
        <v>14</v>
      </c>
      <c r="F1571" s="6">
        <v>0.0</v>
      </c>
      <c r="G1571" s="7">
        <v>1244400.0</v>
      </c>
      <c r="H1571" s="12" t="str">
        <f t="array" ref="H1571">XLOOKUP(C:C,Sheet3!A:A,Sheet3!B:B)</f>
        <v>#N/A</v>
      </c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</row>
    <row r="1572">
      <c r="A1572" s="11" t="s">
        <v>12</v>
      </c>
      <c r="B1572" s="11" t="s">
        <v>13</v>
      </c>
      <c r="C1572" s="9" t="s">
        <v>1247</v>
      </c>
      <c r="D1572" s="9" t="s">
        <v>32</v>
      </c>
      <c r="E1572" s="10" t="s">
        <v>14</v>
      </c>
      <c r="F1572" s="6">
        <v>38000.0</v>
      </c>
      <c r="G1572" s="7">
        <v>44250.0</v>
      </c>
      <c r="H1572" s="12" t="str">
        <f t="array" ref="H1572">XLOOKUP(C:C,Sheet3!A:A,Sheet3!B:B)</f>
        <v>#N/A</v>
      </c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</row>
    <row r="1573">
      <c r="A1573" s="11" t="s">
        <v>12</v>
      </c>
      <c r="B1573" s="11" t="s">
        <v>13</v>
      </c>
      <c r="C1573" s="9" t="s">
        <v>1248</v>
      </c>
      <c r="D1573" s="9" t="s">
        <v>16</v>
      </c>
      <c r="E1573" s="10" t="s">
        <v>14</v>
      </c>
      <c r="F1573" s="6">
        <v>0.0</v>
      </c>
      <c r="G1573" s="7">
        <v>0.0</v>
      </c>
      <c r="H1573" s="12">
        <v>0.0</v>
      </c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</row>
    <row r="1574">
      <c r="A1574" s="11" t="s">
        <v>12</v>
      </c>
      <c r="B1574" s="11" t="s">
        <v>13</v>
      </c>
      <c r="C1574" s="9" t="s">
        <v>1249</v>
      </c>
      <c r="D1574" s="9" t="s">
        <v>16</v>
      </c>
      <c r="E1574" s="10" t="s">
        <v>14</v>
      </c>
      <c r="F1574" s="6">
        <v>0.0</v>
      </c>
      <c r="G1574" s="7">
        <v>0.0</v>
      </c>
      <c r="H1574" s="12">
        <v>0.0</v>
      </c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</row>
    <row r="1575">
      <c r="A1575" s="11" t="s">
        <v>12</v>
      </c>
      <c r="B1575" s="11" t="s">
        <v>13</v>
      </c>
      <c r="C1575" s="9" t="s">
        <v>1250</v>
      </c>
      <c r="D1575" s="9" t="s">
        <v>88</v>
      </c>
      <c r="E1575" s="9" t="s">
        <v>33</v>
      </c>
      <c r="F1575" s="6">
        <v>1000000.0</v>
      </c>
      <c r="G1575" s="7">
        <v>353796.0</v>
      </c>
      <c r="H1575" s="12" t="str">
        <f t="array" ref="H1575">XLOOKUP(C:C,Sheet3!A:A,Sheet3!B:B)</f>
        <v>#N/A</v>
      </c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</row>
    <row r="1576">
      <c r="A1576" s="11" t="s">
        <v>12</v>
      </c>
      <c r="B1576" s="11" t="s">
        <v>13</v>
      </c>
      <c r="C1576" s="9" t="s">
        <v>1251</v>
      </c>
      <c r="D1576" s="9" t="s">
        <v>16</v>
      </c>
      <c r="E1576" s="9" t="s">
        <v>17</v>
      </c>
      <c r="F1576" s="6">
        <v>8000.0</v>
      </c>
      <c r="G1576" s="7">
        <v>0.0</v>
      </c>
      <c r="H1576" s="12">
        <v>0.0</v>
      </c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</row>
    <row r="1577">
      <c r="A1577" s="11" t="s">
        <v>7</v>
      </c>
      <c r="B1577" s="11" t="s">
        <v>13</v>
      </c>
      <c r="C1577" s="9" t="s">
        <v>1252</v>
      </c>
      <c r="D1577" s="9" t="s">
        <v>32</v>
      </c>
      <c r="E1577" s="9" t="s">
        <v>23</v>
      </c>
      <c r="F1577" s="6">
        <v>1500000.0</v>
      </c>
      <c r="G1577" s="7">
        <v>0.0</v>
      </c>
      <c r="H1577" s="12" t="str">
        <f t="array" ref="H1577">XLOOKUP(C:C,Sheet3!A:A,Sheet3!B:B)</f>
        <v>#N/A</v>
      </c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</row>
    <row r="1578">
      <c r="A1578" s="11" t="s">
        <v>12</v>
      </c>
      <c r="B1578" s="11" t="s">
        <v>13</v>
      </c>
      <c r="C1578" s="9" t="s">
        <v>1252</v>
      </c>
      <c r="D1578" s="9" t="s">
        <v>32</v>
      </c>
      <c r="E1578" s="9" t="s">
        <v>17</v>
      </c>
      <c r="F1578" s="6">
        <v>1500000.0</v>
      </c>
      <c r="G1578" s="7">
        <v>1446648.0</v>
      </c>
      <c r="H1578" s="12" t="str">
        <f t="array" ref="H1578">XLOOKUP(C:C,Sheet3!A:A,Sheet3!B:B)</f>
        <v>#N/A</v>
      </c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</row>
    <row r="1579">
      <c r="A1579" s="11" t="s">
        <v>12</v>
      </c>
      <c r="B1579" s="11" t="s">
        <v>13</v>
      </c>
      <c r="C1579" s="9" t="s">
        <v>1253</v>
      </c>
      <c r="D1579" s="9" t="s">
        <v>16</v>
      </c>
      <c r="E1579" s="10" t="s">
        <v>14</v>
      </c>
      <c r="F1579" s="6">
        <v>0.0</v>
      </c>
      <c r="G1579" s="7">
        <v>0.0</v>
      </c>
      <c r="H1579" s="12">
        <v>0.0</v>
      </c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</row>
    <row r="1580">
      <c r="A1580" s="11" t="s">
        <v>12</v>
      </c>
      <c r="B1580" s="11" t="s">
        <v>13</v>
      </c>
      <c r="C1580" s="9" t="s">
        <v>1254</v>
      </c>
      <c r="D1580" s="9" t="s">
        <v>16</v>
      </c>
      <c r="E1580" s="10" t="s">
        <v>14</v>
      </c>
      <c r="F1580" s="6">
        <v>570000.0</v>
      </c>
      <c r="G1580" s="7">
        <v>0.0</v>
      </c>
      <c r="H1580" s="12">
        <v>0.0</v>
      </c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</row>
    <row r="1581">
      <c r="A1581" s="11" t="s">
        <v>12</v>
      </c>
      <c r="B1581" s="11" t="s">
        <v>13</v>
      </c>
      <c r="C1581" s="9" t="s">
        <v>1255</v>
      </c>
      <c r="D1581" s="9" t="s">
        <v>16</v>
      </c>
      <c r="E1581" s="9" t="s">
        <v>49</v>
      </c>
      <c r="F1581" s="6">
        <v>200000.0</v>
      </c>
      <c r="G1581" s="7">
        <v>0.0</v>
      </c>
      <c r="H1581" s="12">
        <v>0.0</v>
      </c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</row>
    <row r="1582">
      <c r="A1582" s="11" t="s">
        <v>12</v>
      </c>
      <c r="B1582" s="11" t="s">
        <v>13</v>
      </c>
      <c r="C1582" s="9" t="s">
        <v>1256</v>
      </c>
      <c r="D1582" s="9" t="s">
        <v>16</v>
      </c>
      <c r="E1582" s="10" t="s">
        <v>14</v>
      </c>
      <c r="F1582" s="6">
        <v>0.0</v>
      </c>
      <c r="G1582" s="7">
        <v>0.0</v>
      </c>
      <c r="H1582" s="12">
        <v>0.0</v>
      </c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</row>
    <row r="1583">
      <c r="A1583" s="11" t="s">
        <v>12</v>
      </c>
      <c r="B1583" s="11" t="s">
        <v>13</v>
      </c>
      <c r="C1583" s="9" t="s">
        <v>1257</v>
      </c>
      <c r="D1583" s="9" t="s">
        <v>16</v>
      </c>
      <c r="E1583" s="10" t="s">
        <v>14</v>
      </c>
      <c r="F1583" s="6">
        <v>0.0</v>
      </c>
      <c r="G1583" s="7">
        <v>0.0</v>
      </c>
      <c r="H1583" s="12">
        <v>0.0</v>
      </c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</row>
    <row r="1584">
      <c r="A1584" s="11" t="s">
        <v>7</v>
      </c>
      <c r="B1584" s="11" t="s">
        <v>8</v>
      </c>
      <c r="C1584" s="9" t="s">
        <v>1258</v>
      </c>
      <c r="D1584" s="9" t="s">
        <v>16</v>
      </c>
      <c r="E1584" s="10" t="s">
        <v>14</v>
      </c>
      <c r="F1584" s="6">
        <v>0.0</v>
      </c>
      <c r="G1584" s="7">
        <v>0.0</v>
      </c>
      <c r="H1584" s="12" t="str">
        <f t="array" ref="H1584">XLOOKUP(C:C,Sheet3!A:A,Sheet3!B:B)</f>
        <v>#N/A</v>
      </c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</row>
    <row r="1585">
      <c r="A1585" s="11" t="s">
        <v>12</v>
      </c>
      <c r="B1585" s="11" t="s">
        <v>13</v>
      </c>
      <c r="C1585" s="9" t="s">
        <v>1258</v>
      </c>
      <c r="D1585" s="9" t="s">
        <v>16</v>
      </c>
      <c r="E1585" s="10" t="s">
        <v>14</v>
      </c>
      <c r="F1585" s="6">
        <v>200000.0</v>
      </c>
      <c r="G1585" s="7">
        <v>0.0</v>
      </c>
      <c r="H1585" s="12" t="str">
        <f t="array" ref="H1585">XLOOKUP(C:C,Sheet3!A:A,Sheet3!B:B)</f>
        <v>#N/A</v>
      </c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</row>
    <row r="1586">
      <c r="A1586" s="11" t="s">
        <v>12</v>
      </c>
      <c r="B1586" s="11" t="s">
        <v>8</v>
      </c>
      <c r="C1586" s="9" t="s">
        <v>1258</v>
      </c>
      <c r="D1586" s="9" t="s">
        <v>16</v>
      </c>
      <c r="E1586" s="9" t="s">
        <v>49</v>
      </c>
      <c r="F1586" s="6">
        <v>200000.0</v>
      </c>
      <c r="G1586" s="7">
        <v>-173.0</v>
      </c>
      <c r="H1586" s="12" t="str">
        <f t="array" ref="H1586">XLOOKUP(C:C,Sheet3!A:A,Sheet3!B:B)</f>
        <v>#N/A</v>
      </c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</row>
    <row r="1587">
      <c r="A1587" s="11" t="s">
        <v>12</v>
      </c>
      <c r="B1587" s="11" t="s">
        <v>13</v>
      </c>
      <c r="C1587" s="9" t="s">
        <v>1259</v>
      </c>
      <c r="D1587" s="9" t="s">
        <v>16</v>
      </c>
      <c r="E1587" s="10" t="s">
        <v>14</v>
      </c>
      <c r="F1587" s="6">
        <v>0.0</v>
      </c>
      <c r="G1587" s="7">
        <v>0.0</v>
      </c>
      <c r="H1587" s="12">
        <v>0.0</v>
      </c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</row>
    <row r="1588">
      <c r="A1588" s="11" t="s">
        <v>7</v>
      </c>
      <c r="B1588" s="11" t="s">
        <v>13</v>
      </c>
      <c r="C1588" s="9" t="s">
        <v>1260</v>
      </c>
      <c r="D1588" s="9" t="s">
        <v>32</v>
      </c>
      <c r="E1588" s="9" t="s">
        <v>23</v>
      </c>
      <c r="F1588" s="6">
        <v>800000.0</v>
      </c>
      <c r="G1588" s="7">
        <v>0.0</v>
      </c>
      <c r="H1588" s="12" t="str">
        <f t="array" ref="H1588">XLOOKUP(C:C,Sheet3!A:A,Sheet3!B:B)</f>
        <v>#N/A</v>
      </c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</row>
    <row r="1589">
      <c r="A1589" s="11" t="s">
        <v>12</v>
      </c>
      <c r="B1589" s="11" t="s">
        <v>13</v>
      </c>
      <c r="C1589" s="9" t="s">
        <v>1260</v>
      </c>
      <c r="D1589" s="9" t="s">
        <v>32</v>
      </c>
      <c r="E1589" s="9" t="s">
        <v>17</v>
      </c>
      <c r="F1589" s="6">
        <v>825000.0</v>
      </c>
      <c r="G1589" s="7">
        <v>0.0</v>
      </c>
      <c r="H1589" s="12" t="str">
        <f t="array" ref="H1589">XLOOKUP(C:C,Sheet3!A:A,Sheet3!B:B)</f>
        <v>#N/A</v>
      </c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</row>
    <row r="1590">
      <c r="A1590" s="11" t="s">
        <v>12</v>
      </c>
      <c r="B1590" s="11" t="s">
        <v>13</v>
      </c>
      <c r="C1590" s="9" t="s">
        <v>1261</v>
      </c>
      <c r="D1590" s="9" t="s">
        <v>32</v>
      </c>
      <c r="E1590" s="10" t="s">
        <v>14</v>
      </c>
      <c r="F1590" s="6">
        <v>0.0</v>
      </c>
      <c r="G1590" s="7">
        <v>0.0</v>
      </c>
      <c r="H1590" s="12" t="str">
        <f t="array" ref="H1590">XLOOKUP(C:C,Sheet3!A:A,Sheet3!B:B)</f>
        <v>#N/A</v>
      </c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</row>
    <row r="1591">
      <c r="A1591" s="11" t="s">
        <v>12</v>
      </c>
      <c r="B1591" s="11" t="s">
        <v>13</v>
      </c>
      <c r="C1591" s="9" t="s">
        <v>1262</v>
      </c>
      <c r="D1591" s="9" t="s">
        <v>16</v>
      </c>
      <c r="E1591" s="10" t="s">
        <v>14</v>
      </c>
      <c r="F1591" s="6">
        <v>0.0</v>
      </c>
      <c r="G1591" s="7">
        <v>0.0</v>
      </c>
      <c r="H1591" s="12">
        <v>0.0</v>
      </c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</row>
    <row r="1592">
      <c r="A1592" s="11" t="s">
        <v>7</v>
      </c>
      <c r="B1592" s="11" t="s">
        <v>8</v>
      </c>
      <c r="C1592" s="9" t="s">
        <v>1263</v>
      </c>
      <c r="D1592" s="9" t="s">
        <v>48</v>
      </c>
      <c r="E1592" s="9" t="s">
        <v>49</v>
      </c>
      <c r="F1592" s="6">
        <v>500000.0</v>
      </c>
      <c r="G1592" s="7">
        <v>0.0</v>
      </c>
      <c r="H1592" s="12" t="str">
        <f t="array" ref="H1592">XLOOKUP(C:C,Sheet3!A:A,Sheet3!B:B)</f>
        <v>#N/A</v>
      </c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</row>
    <row r="1593">
      <c r="A1593" s="11" t="s">
        <v>12</v>
      </c>
      <c r="B1593" s="11" t="s">
        <v>13</v>
      </c>
      <c r="C1593" s="9" t="s">
        <v>1263</v>
      </c>
      <c r="D1593" s="9" t="s">
        <v>48</v>
      </c>
      <c r="E1593" s="9" t="s">
        <v>17</v>
      </c>
      <c r="F1593" s="6">
        <v>2620000.0</v>
      </c>
      <c r="G1593" s="7">
        <v>6.0</v>
      </c>
      <c r="H1593" s="12" t="str">
        <f t="array" ref="H1593">XLOOKUP(C:C,Sheet3!A:A,Sheet3!B:B)</f>
        <v>#N/A</v>
      </c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</row>
    <row r="1594">
      <c r="A1594" s="11" t="s">
        <v>12</v>
      </c>
      <c r="B1594" s="11" t="s">
        <v>8</v>
      </c>
      <c r="C1594" s="9" t="s">
        <v>1263</v>
      </c>
      <c r="D1594" s="9" t="s">
        <v>48</v>
      </c>
      <c r="E1594" s="9" t="s">
        <v>49</v>
      </c>
      <c r="F1594" s="6">
        <v>3500000.0</v>
      </c>
      <c r="G1594" s="7">
        <v>1925521.0</v>
      </c>
      <c r="H1594" s="12" t="str">
        <f t="array" ref="H1594">XLOOKUP(C:C,Sheet3!A:A,Sheet3!B:B)</f>
        <v>#N/A</v>
      </c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</row>
    <row r="1595">
      <c r="A1595" s="11" t="s">
        <v>12</v>
      </c>
      <c r="B1595" s="11" t="s">
        <v>13</v>
      </c>
      <c r="C1595" s="9" t="s">
        <v>1264</v>
      </c>
      <c r="D1595" s="9" t="s">
        <v>48</v>
      </c>
      <c r="E1595" s="10" t="s">
        <v>14</v>
      </c>
      <c r="F1595" s="6">
        <v>0.0</v>
      </c>
      <c r="G1595" s="7">
        <v>0.0</v>
      </c>
      <c r="H1595" s="12" t="str">
        <f t="array" ref="H1595">XLOOKUP(C:C,Sheet3!A:A,Sheet3!B:B)</f>
        <v>#N/A</v>
      </c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</row>
    <row r="1596">
      <c r="A1596" s="11" t="s">
        <v>12</v>
      </c>
      <c r="B1596" s="11" t="s">
        <v>13</v>
      </c>
      <c r="C1596" s="9" t="s">
        <v>1265</v>
      </c>
      <c r="D1596" s="9" t="s">
        <v>16</v>
      </c>
      <c r="E1596" s="9" t="s">
        <v>11</v>
      </c>
      <c r="F1596" s="6">
        <v>500000.0</v>
      </c>
      <c r="G1596" s="7">
        <v>0.0</v>
      </c>
      <c r="H1596" s="12" t="str">
        <f t="array" ref="H1596">XLOOKUP(C:C,Sheet3!A:A,Sheet3!B:B)</f>
        <v>#N/A</v>
      </c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</row>
    <row r="1597">
      <c r="A1597" s="11" t="s">
        <v>12</v>
      </c>
      <c r="B1597" s="11" t="s">
        <v>13</v>
      </c>
      <c r="C1597" s="9" t="s">
        <v>1266</v>
      </c>
      <c r="D1597" s="9" t="s">
        <v>16</v>
      </c>
      <c r="E1597" s="10" t="s">
        <v>14</v>
      </c>
      <c r="F1597" s="6">
        <v>0.0</v>
      </c>
      <c r="G1597" s="7">
        <v>0.0</v>
      </c>
      <c r="H1597" s="12">
        <v>0.0</v>
      </c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</row>
    <row r="1598">
      <c r="A1598" s="11" t="s">
        <v>7</v>
      </c>
      <c r="B1598" s="11" t="s">
        <v>13</v>
      </c>
      <c r="C1598" s="9" t="s">
        <v>1267</v>
      </c>
      <c r="D1598" s="9" t="s">
        <v>16</v>
      </c>
      <c r="E1598" s="10" t="s">
        <v>14</v>
      </c>
      <c r="F1598" s="6">
        <v>0.0</v>
      </c>
      <c r="G1598" s="7">
        <v>0.0</v>
      </c>
      <c r="H1598" s="12" t="str">
        <f t="array" ref="H1598">XLOOKUP(C:C,Sheet3!A:A,Sheet3!B:B)</f>
        <v>#N/A</v>
      </c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</row>
    <row r="1599">
      <c r="A1599" s="11" t="s">
        <v>12</v>
      </c>
      <c r="B1599" s="11" t="s">
        <v>13</v>
      </c>
      <c r="C1599" s="9" t="s">
        <v>1267</v>
      </c>
      <c r="D1599" s="9" t="s">
        <v>16</v>
      </c>
      <c r="E1599" s="9" t="s">
        <v>96</v>
      </c>
      <c r="F1599" s="6">
        <v>0.0</v>
      </c>
      <c r="G1599" s="7">
        <v>365928.0</v>
      </c>
      <c r="H1599" s="12" t="str">
        <f t="array" ref="H1599">XLOOKUP(C:C,Sheet3!A:A,Sheet3!B:B)</f>
        <v>#N/A</v>
      </c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</row>
    <row r="1600">
      <c r="A1600" s="11" t="s">
        <v>12</v>
      </c>
      <c r="B1600" s="11" t="s">
        <v>13</v>
      </c>
      <c r="C1600" s="9" t="s">
        <v>1268</v>
      </c>
      <c r="D1600" s="9" t="s">
        <v>16</v>
      </c>
      <c r="E1600" s="10" t="s">
        <v>14</v>
      </c>
      <c r="F1600" s="6">
        <v>0.0</v>
      </c>
      <c r="G1600" s="7">
        <v>0.0</v>
      </c>
      <c r="H1600" s="12">
        <v>0.0</v>
      </c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</row>
    <row r="1601">
      <c r="A1601" s="11" t="s">
        <v>7</v>
      </c>
      <c r="B1601" s="11" t="s">
        <v>13</v>
      </c>
      <c r="C1601" s="9" t="s">
        <v>1269</v>
      </c>
      <c r="D1601" s="9" t="s">
        <v>32</v>
      </c>
      <c r="E1601" s="9" t="s">
        <v>96</v>
      </c>
      <c r="F1601" s="6">
        <v>500000.0</v>
      </c>
      <c r="G1601" s="7">
        <v>0.0</v>
      </c>
      <c r="H1601" s="12" t="str">
        <f t="array" ref="H1601">XLOOKUP(C:C,Sheet3!A:A,Sheet3!B:B)</f>
        <v>#N/A</v>
      </c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</row>
    <row r="1602">
      <c r="A1602" s="11" t="s">
        <v>12</v>
      </c>
      <c r="B1602" s="11" t="s">
        <v>13</v>
      </c>
      <c r="C1602" s="9" t="s">
        <v>1269</v>
      </c>
      <c r="D1602" s="9" t="s">
        <v>32</v>
      </c>
      <c r="E1602" s="9" t="s">
        <v>96</v>
      </c>
      <c r="F1602" s="6">
        <v>1000000.0</v>
      </c>
      <c r="G1602" s="7">
        <v>0.0</v>
      </c>
      <c r="H1602" s="12" t="str">
        <f t="array" ref="H1602">XLOOKUP(C:C,Sheet3!A:A,Sheet3!B:B)</f>
        <v>#N/A</v>
      </c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</row>
  </sheetData>
  <drawing r:id="rId1"/>
</worksheet>
</file>